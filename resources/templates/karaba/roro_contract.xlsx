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BB340." sheetId="1" r:id="rId4"/>
  </sheets>
  <definedNames>
    <definedName name="_xlnm.Print_Area" localSheetId="0">'HBB340.'!$A$1:$G$66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<sst xmlns="http://schemas.openxmlformats.org/spreadsheetml/2006/main" uniqueCount="41">
  <si>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r>
      <t xml:space="preserve">PROFORMA CONTRACT</t>
    </r>
  </si>
  <si>
    <t>Karaba Co., Ltd. Kim Hee-chul. #303, 178 Injung-ro, Jung-gu, Incheon, Korea  Phone: +82-32-710-7979 Email: sales@karaba.co.kr</t>
  </si>
  <si>
    <r>
      <t xml:space="preserve">Date</t>
    </r>
  </si>
  <si>
    <r>
      <t xml:space="preserve">Invoice No.</t>
    </r>
  </si>
  <si>
    <r>
      <t xml:space="preserve">TRHU6652495</t>
    </r>
  </si>
  <si>
    <r>
      <t xml:space="preserve">Name</t>
    </r>
  </si>
  <si>
    <r>
      <t xml:space="preserve">IMP. EXP. HANNA LTDA</t>
    </r>
  </si>
  <si>
    <r>
      <t xml:space="preserve">Address</t>
    </r>
  </si>
  <si>
    <r>
      <t xml:space="preserve">Phone</t>
    </r>
  </si>
  <si>
    <r>
      <t xml:space="preserve">Dollar Rate</t>
    </r>
  </si>
  <si>
    <r>
      <t xml:space="preserve"> </t>
    </r>
  </si>
  <si>
    <r>
      <t xml:space="preserve">BANK ACCOUNT INFORMATION</t>
    </r>
  </si>
  <si>
    <r>
      <t xml:space="preserve">Beneficiary</t>
    </r>
  </si>
  <si>
    <t>KARABA CO., LTD</t>
  </si>
  <si>
    <r>
      <t xml:space="preserve">Bank Name</t>
    </r>
  </si>
  <si>
    <t>KEB Hana Bank</t>
  </si>
  <si>
    <r>
      <t xml:space="preserve">Swift Code</t>
    </r>
  </si>
  <si>
    <t>KOEXKRSEXXX</t>
  </si>
  <si>
    <r>
      <t xml:space="preserve">Bank Address</t>
    </r>
  </si>
  <si>
    <t>216-55, Hogupo-ro, Namdong-gu, Incheon, South Korea</t>
  </si>
  <si>
    <r>
      <t xml:space="preserve">Bank Account Number</t>
    </r>
  </si>
  <si>
    <t>433 910007 14938</t>
  </si>
  <si>
    <r>
      <t xml:space="preserve">Beneficiary Address</t>
    </r>
  </si>
  <si>
    <r>
      <t xml:space="preserve">Code</t>
    </r>
  </si>
  <si>
    <r>
      <t xml:space="preserve">Brand</t>
    </r>
  </si>
  <si>
    <r>
      <t xml:space="preserve">Model</t>
    </r>
  </si>
  <si>
    <r>
      <t xml:space="preserve">Year</t>
    </r>
  </si>
  <si>
    <r>
      <t xml:space="preserve">Chassis No.</t>
    </r>
  </si>
  <si>
    <r>
      <t xml:space="preserve">FOB PRICE</t>
    </r>
  </si>
  <si>
    <r>
      <t xml:space="preserve">Shipping cost</t>
    </r>
  </si>
  <si>
    <r>
      <t xml:space="preserve">HYUNDAI</t>
    </r>
  </si>
  <si>
    <r>
      <t xml:space="preserve">ACCENT</t>
    </r>
  </si>
  <si>
    <r>
      <t xml:space="preserve">KMHCT51UGGU281238</t>
    </r>
  </si>
  <si>
    <r>
      <t xml:space="preserve">GRAND STAREX</t>
    </r>
  </si>
  <si>
    <r>
      <t xml:space="preserve">KMJWA37KBHU886217</t>
    </r>
  </si>
  <si>
    <r>
      <t xml:space="preserve">KMJWA37KAFU680072</t>
    </r>
  </si>
  <si>
    <r>
      <t xml:space="preserve">KMHCS41UBEU687864</t>
    </r>
  </si>
  <si>
    <r>
      <t xml:space="preserve">SUB TOTAL</t>
    </r>
  </si>
  <si>
    <r>
      <t xml:space="preserve">TOTAL</t>
    </r>
  </si>
  <si>
    <r>
      <t xml:space="preserve">BALANCE MONEY</t>
    </r>
  </si>
  <si>
    <r>
      <t xml:space="preserve">.</t>
    </r>
  </si>
</sst>
</file>

<file path=xl/styles.xml><?xml version="1.0" encoding="utf-8"?>
<styleSheet xmlns="http://schemas.openxmlformats.org/spreadsheetml/2006/main" xml:space="preserve">
  <numFmts count="4">
    <numFmt numFmtId="164" formatCode="#,##0_ ;[Red]\-#,##0\ "/>
    <numFmt numFmtId="165" formatCode="\$#,##0;[Red]\-\$#,##0"/>
    <numFmt numFmtId="166" formatCode="&quot;$&quot;#,##0.00"/>
    <numFmt numFmtId="167" formatCode="\$#,##0_);[Red]\(\$#,##0\)"/>
  </numFmts>
  <fonts count="16">
    <font>
      <b val="0"/>
      <i val="0"/>
      <strike val="0"/>
      <u val="none"/>
      <sz val="11"/>
      <color rgb="FF000000"/>
      <name val="맑은 고딕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ahoma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20"/>
      <color rgb="FFFF0000"/>
      <name val="Arial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single"/>
      <sz val="26"/>
      <color rgb="FFFFFFFF"/>
      <name val="Arial Black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18"/>
      <color rgb="FFFF0000"/>
      <name val="Arial"/>
    </font>
    <font>
      <b val="0"/>
      <i val="0"/>
      <strike val="0"/>
      <u val="none"/>
      <sz val="16"/>
      <color rgb="FF000000"/>
      <name val="Impact"/>
    </font>
    <font>
      <b val="1"/>
      <i val="0"/>
      <strike val="0"/>
      <u val="none"/>
      <sz val="9"/>
      <color rgb="FF000000"/>
      <name val="Tahoma"/>
    </font>
    <font>
      <b val="1"/>
      <i val="0"/>
      <strike val="0"/>
      <u val="none"/>
      <sz val="8"/>
      <color rgb="FF000000"/>
      <name val="Tahoma"/>
    </font>
  </fonts>
  <fills count="12">
    <fill>
      <patternFill patternType="none"/>
    </fill>
    <fill>
      <patternFill patternType="gray125"/>
    </fill>
    <fill>
      <patternFill patternType="solid">
        <fgColor rgb="FFFD411B"/>
        <bgColor rgb="FF990000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DAE3F3"/>
        <bgColor rgb="FFFF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0EBDC"/>
        <bgColor rgb="FFF0EBDC"/>
      </patternFill>
    </fill>
    <fill>
      <patternFill patternType="solid">
        <fgColor rgb="FF990000"/>
        <bgColor rgb="FF990000"/>
      </patternFill>
    </fill>
    <fill>
      <patternFill patternType="solid">
        <fgColor rgb="FFFFFFFF"/>
        <bgColor rgb="FFFFFFFF"/>
      </patternFill>
    </fill>
  </fills>
  <borders count="3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medium">
        <color rgb="FF000000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AEAAAA"/>
      </right>
      <top style="medium">
        <color rgb="FF000000"/>
      </top>
      <bottom style="thin">
        <color rgb="FFAEAAAA"/>
      </bottom>
      <diagonal/>
    </border>
    <border>
      <left style="medium">
        <color rgb="FF000000"/>
      </left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AEAAAA"/>
      </left>
      <right style="medium">
        <color rgb="FF000000"/>
      </right>
      <top style="medium">
        <color rgb="FF000000"/>
      </top>
      <bottom style="thin">
        <color rgb="FFAEAAAA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AEAAAA"/>
      </left>
      <right style="thin">
        <color rgb="FFAEAAAA"/>
      </right>
      <top style="medium">
        <color rgb="FF000000"/>
      </top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double">
        <color rgb="FFAEAAAA"/>
      </bottom>
      <diagonal/>
    </border>
    <border>
      <left style="thin">
        <color rgb="FFAEAAAA"/>
      </left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AEAAAA"/>
      </left>
      <right style="medium">
        <color rgb="FF000000"/>
      </right>
      <top style="thin">
        <color rgb="FFAEAAAA"/>
      </top>
      <bottom style="thin">
        <color rgb="FFAEAAAA"/>
      </bottom>
      <diagonal/>
    </border>
    <border>
      <left style="medium">
        <color rgb="FF000000"/>
      </left>
      <right style="thin">
        <color rgb="FFAEAAAA"/>
      </right>
      <top style="thin">
        <color rgb="FFAEAAAA"/>
      </top>
      <bottom style="medium">
        <color rgb="FF000000"/>
      </bottom>
      <diagonal/>
    </border>
    <border>
      <left/>
      <right style="thin">
        <color rgb="FFAEAAAA"/>
      </right>
      <top style="thin">
        <color rgb="FFAEAAAA"/>
      </top>
      <bottom style="double">
        <color rgb="FFAEAAAA"/>
      </bottom>
      <diagonal/>
    </border>
    <border>
      <left/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/>
      <right/>
      <top style="medium">
        <color rgb="FF000000"/>
      </top>
      <bottom style="thin">
        <color rgb="FFAEAAAA"/>
      </bottom>
      <diagonal/>
    </border>
    <border>
      <left/>
      <right style="thin">
        <color rgb="FFAEAAAA"/>
      </right>
      <top style="medium">
        <color rgb="FF000000"/>
      </top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medium">
        <color rgb="FF000000"/>
      </right>
      <top style="thin">
        <color rgb="FFAEAAAA"/>
      </top>
      <bottom style="medium">
        <color rgb="FF000000"/>
      </bottom>
      <diagonal/>
    </border>
    <border>
      <left/>
      <right style="medium">
        <color rgb="FF000000"/>
      </right>
      <top style="thin">
        <color rgb="FFAEAAAA"/>
      </top>
      <bottom/>
      <diagonal/>
    </border>
    <border>
      <left/>
      <right style="thin">
        <color rgb="FFAEAAAA"/>
      </right>
      <top style="thin">
        <color rgb="FFAEAAAA"/>
      </top>
      <bottom style="medium">
        <color rgb="FF000000"/>
      </bottom>
      <diagonal/>
    </border>
    <border>
      <left style="thin">
        <color rgb="FFAEAAAA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AEAAAA"/>
      </top>
      <bottom style="thin">
        <color rgb="FFAEAAAA"/>
      </bottom>
      <diagonal/>
    </border>
  </borders>
  <cellStyleXfs count="1">
    <xf numFmtId="0" fontId="0" fillId="0" borderId="0"/>
  </cellStyleXfs>
  <cellXfs count="79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bottom" textRotation="0" wrapText="false" shrinkToFit="false"/>
    </xf>
    <xf xfId="0" fontId="1" numFmtId="0" fillId="0" borderId="2" applyFont="1" applyNumberFormat="0" applyFill="0" applyBorder="1" applyAlignment="1">
      <alignment vertical="bottom" textRotation="0" wrapText="false" shrinkToFit="false"/>
    </xf>
    <xf xfId="0" fontId="1" numFmtId="0" fillId="0" borderId="3" applyFont="1" applyNumberFormat="0" applyFill="0" applyBorder="1" applyAlignment="1">
      <alignment vertical="bottom" textRotation="0" wrapText="false" shrinkToFit="false"/>
    </xf>
    <xf xfId="0" fontId="1" numFmtId="0" fillId="0" borderId="4" applyFont="1" applyNumberFormat="0" applyFill="0" applyBorder="1" applyAlignment="1">
      <alignment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7" applyFont="1" applyNumberFormat="0" applyFill="0" applyBorder="1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 indent="1"/>
    </xf>
    <xf xfId="0" fontId="6" numFmtId="0" fillId="0" borderId="0" applyFont="1" applyNumberFormat="0" applyFill="0" applyBorder="0" applyAlignment="1">
      <alignment vertical="center" textRotation="0" wrapText="true" shrinkToFit="false"/>
    </xf>
    <xf xfId="0" fontId="6" numFmtId="0" fillId="0" borderId="7" applyFont="1" applyNumberFormat="0" applyFill="0" applyBorder="1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3" numFmtId="0" fillId="2" borderId="8" applyFont="1" applyNumberFormat="0" applyFill="1" applyBorder="1" applyAlignment="1">
      <alignment horizontal="left" vertical="center" textRotation="0" wrapText="false" shrinkToFit="false" indent="1"/>
    </xf>
    <xf xfId="0" fontId="5" numFmtId="0" fillId="3" borderId="9" applyFont="1" applyNumberFormat="0" applyFill="1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true" shrinkToFit="false"/>
    </xf>
    <xf xfId="0" fontId="2" numFmtId="0" fillId="0" borderId="12" applyFont="1" applyNumberFormat="0" applyFill="0" applyBorder="1" applyAlignment="1">
      <alignment horizontal="center" vertical="center" textRotation="0" wrapText="true" shrinkToFit="false"/>
    </xf>
    <xf xfId="0" fontId="2" numFmtId="0" fillId="4" borderId="11" applyFont="1" applyNumberFormat="0" applyFill="1" applyBorder="1" applyAlignment="1">
      <alignment horizontal="center" vertical="center" textRotation="0" wrapText="true" shrinkToFit="false"/>
    </xf>
    <xf xfId="0" fontId="1" numFmtId="0" fillId="5" borderId="13" applyFont="1" applyNumberFormat="0" applyFill="1" applyBorder="1" applyAlignment="1">
      <alignment horizontal="center" vertical="center" textRotation="0" wrapText="false" shrinkToFit="false"/>
    </xf>
    <xf xfId="0" fontId="5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15" applyFont="1" applyNumberFormat="0" applyFill="0" applyBorder="1" applyAlignment="1">
      <alignment vertical="bottom" textRotation="0" wrapText="false" shrinkToFit="false"/>
    </xf>
    <xf xfId="0" fontId="5" numFmtId="0" fillId="3" borderId="16" applyFont="1" applyNumberFormat="0" applyFill="1" applyBorder="1" applyAlignment="1">
      <alignment horizontal="center" vertical="center" textRotation="0" wrapText="false" shrinkToFit="false"/>
    </xf>
    <xf xfId="0" fontId="2" numFmtId="0" fillId="6" borderId="5" applyFont="1" applyNumberFormat="0" applyFill="1" applyBorder="1" applyAlignment="1">
      <alignment horizontal="center" vertical="center" textRotation="0" wrapText="true" shrinkToFit="false"/>
    </xf>
    <xf xfId="0" fontId="2" numFmtId="0" fillId="6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5" applyFont="1" applyNumberFormat="0" applyFill="0" applyBorder="1" applyAlignment="1">
      <alignment horizontal="right" vertical="center" textRotation="0" wrapText="true" shrinkToFit="false"/>
    </xf>
    <xf xfId="0" fontId="2" numFmtId="14" fillId="7" borderId="17" applyFont="1" applyNumberFormat="1" applyFill="1" applyBorder="1" applyAlignment="1">
      <alignment horizontal="right" vertical="center" textRotation="0" wrapText="true" shrinkToFit="false"/>
    </xf>
    <xf xfId="0" fontId="2" numFmtId="0" fillId="4" borderId="5" applyFont="1" applyNumberFormat="0" applyFill="1" applyBorder="1" applyAlignment="1">
      <alignment horizontal="center" vertical="center" textRotation="0" wrapText="tru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2" numFmtId="0" fillId="8" borderId="5" applyFont="1" applyNumberFormat="0" applyFill="1" applyBorder="1" applyAlignment="1">
      <alignment horizontal="center" vertical="center" textRotation="0" wrapText="true" shrinkToFit="false"/>
    </xf>
    <xf xfId="0" fontId="0" numFmtId="0" fillId="8" borderId="5" applyFont="0" applyNumberFormat="0" applyFill="1" applyBorder="1" applyAlignment="1">
      <alignment horizontal="center" vertical="center" textRotation="0" wrapText="false" shrinkToFit="false"/>
    </xf>
    <xf xfId="0" fontId="5" numFmtId="0" fillId="9" borderId="6" applyFont="1" applyNumberFormat="0" applyFill="1" applyBorder="1" applyAlignment="1">
      <alignment horizontal="left" vertical="center" textRotation="0" wrapText="false" shrinkToFit="false"/>
    </xf>
    <xf xfId="0" fontId="5" numFmtId="0" fillId="9" borderId="5" applyFont="1" applyNumberFormat="0" applyFill="1" applyBorder="1" applyAlignment="1">
      <alignment horizontal="left" vertical="center" textRotation="0" wrapText="false" shrinkToFit="false"/>
    </xf>
    <xf xfId="0" fontId="1" numFmtId="0" fillId="10" borderId="18" applyFont="1" applyNumberFormat="0" applyFill="1" applyBorder="1" applyAlignment="1">
      <alignment vertical="bottom" textRotation="0" wrapText="false" shrinkToFit="false"/>
    </xf>
    <xf xfId="0" fontId="1" numFmtId="0" fillId="10" borderId="8" applyFont="1" applyNumberFormat="0" applyFill="1" applyBorder="1" applyAlignment="1">
      <alignment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11" numFmtId="0" fillId="0" borderId="7" applyFont="1" applyNumberFormat="0" applyFill="0" applyBorder="1" applyAlignment="1">
      <alignment horizontal="center" vertical="top" textRotation="0" wrapText="true" shrinkToFit="false"/>
    </xf>
    <xf xfId="0" fontId="2" numFmtId="14" fillId="4" borderId="19" applyFont="1" applyNumberFormat="1" applyFill="1" applyBorder="1" applyAlignment="1">
      <alignment horizontal="center" vertical="center" textRotation="0" wrapText="true" shrinkToFit="false"/>
    </xf>
    <xf xfId="0" fontId="1" numFmtId="49" fillId="8" borderId="20" applyFont="1" applyNumberFormat="1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vertical="bottom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2" numFmtId="0" fillId="8" borderId="20" applyFont="1" applyNumberFormat="0" applyFill="1" applyBorder="1" applyAlignment="1">
      <alignment horizontal="center" vertical="center" textRotation="0" wrapText="true" shrinkToFit="false"/>
    </xf>
    <xf xfId="0" fontId="6" numFmtId="0" fillId="4" borderId="20" applyFont="1" applyNumberFormat="0" applyFill="1" applyBorder="1" applyAlignment="1">
      <alignment horizontal="center" vertical="center" textRotation="0" wrapText="true" shrinkToFit="false"/>
    </xf>
    <xf xfId="0" fontId="2" numFmtId="49" fillId="4" borderId="20" applyFont="1" applyNumberFormat="1" applyFill="1" applyBorder="1" applyAlignment="1">
      <alignment horizontal="center" vertical="center" textRotation="0" wrapText="true" shrinkToFit="false"/>
    </xf>
    <xf xfId="0" fontId="12" numFmtId="165" fillId="5" borderId="21" applyFont="1" applyNumberFormat="1" applyFill="1" applyBorder="1" applyAlignment="1">
      <alignment horizontal="right" vertical="center" textRotation="0" wrapText="false" shrinkToFit="false"/>
    </xf>
    <xf xfId="0" fontId="2" numFmtId="49" fillId="5" borderId="20" applyFont="1" applyNumberFormat="1" applyFill="1" applyBorder="1" applyAlignment="1">
      <alignment horizontal="center" vertical="center" textRotation="0" wrapText="true" shrinkToFit="false"/>
    </xf>
    <xf xfId="0" fontId="2" numFmtId="165" fillId="6" borderId="22" applyFont="1" applyNumberFormat="1" applyFill="1" applyBorder="1" applyAlignment="1">
      <alignment horizontal="right" vertical="center" textRotation="0" wrapText="false" shrinkToFit="false"/>
    </xf>
    <xf xfId="0" fontId="13" numFmtId="0" fillId="3" borderId="9" applyFont="1" applyNumberFormat="0" applyFill="1" applyBorder="1" applyAlignment="1">
      <alignment horizontal="center" vertical="bottom" textRotation="0" wrapText="false" shrinkToFit="false"/>
    </xf>
    <xf xfId="0" fontId="14" numFmtId="0" fillId="0" borderId="5" applyFont="1" applyNumberFormat="0" applyFill="0" applyBorder="1" applyAlignment="1">
      <alignment horizontal="left" vertical="center" textRotation="0" wrapText="false" shrinkToFit="false"/>
    </xf>
    <xf xfId="0" fontId="5" numFmtId="0" fillId="9" borderId="23" applyFont="1" applyNumberFormat="0" applyFill="1" applyBorder="1" applyAlignment="1">
      <alignment horizontal="left" vertical="center" textRotation="0" wrapText="false" shrinkToFit="false"/>
    </xf>
    <xf xfId="0" fontId="5" numFmtId="0" fillId="9" borderId="12" applyFont="1" applyNumberFormat="0" applyFill="1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false" shrinkToFit="false"/>
    </xf>
    <xf xfId="0" fontId="0" numFmtId="0" fillId="0" borderId="8" applyFont="0" applyNumberFormat="0" applyFill="0" applyBorder="1" applyAlignment="1">
      <alignment vertical="bottom" textRotation="0" wrapText="false" shrinkToFit="false"/>
    </xf>
    <xf xfId="0" fontId="0" numFmtId="0" fillId="0" borderId="15" applyFont="0" applyNumberFormat="0" applyFill="0" applyBorder="1" applyAlignment="1">
      <alignment vertical="bottom" textRotation="0" wrapText="false" shrinkToFit="false"/>
    </xf>
    <xf xfId="0" fontId="0" numFmtId="0" fillId="0" borderId="7" applyFont="0" applyNumberFormat="0" applyFill="0" applyBorder="1" applyAlignment="1">
      <alignment vertical="bottom" textRotation="0" wrapText="false" shrinkToFit="false"/>
    </xf>
    <xf xfId="0" fontId="0" numFmtId="0" fillId="0" borderId="24" applyFont="0" applyNumberFormat="0" applyFill="0" applyBorder="1" applyAlignment="1">
      <alignment vertical="bottom" textRotation="0" wrapText="false" shrinkToFit="false"/>
    </xf>
    <xf xfId="0" fontId="0" numFmtId="0" fillId="0" borderId="25" applyFont="0" applyNumberFormat="0" applyFill="0" applyBorder="1" applyAlignment="1">
      <alignment vertical="bottom" textRotation="0" wrapText="false" shrinkToFit="false"/>
    </xf>
    <xf xfId="0" fontId="0" numFmtId="0" fillId="0" borderId="26" applyFont="0" applyNumberFormat="0" applyFill="0" applyBorder="1" applyAlignment="1">
      <alignment vertical="bottom" textRotation="0" wrapText="false" shrinkToFit="false"/>
    </xf>
    <xf xfId="0" fontId="0" numFmtId="0" fillId="0" borderId="27" applyFont="0" applyNumberFormat="0" applyFill="0" applyBorder="1" applyAlignment="1">
      <alignment vertical="bottom" textRotation="0" wrapText="false" shrinkToFit="false"/>
    </xf>
    <xf xfId="0" fontId="0" numFmtId="0" fillId="0" borderId="28" applyFont="0" applyNumberFormat="0" applyFill="0" applyBorder="1" applyAlignment="1">
      <alignment vertical="bottom" textRotation="0" wrapText="false" shrinkToFit="false"/>
    </xf>
    <xf xfId="0" fontId="15" numFmtId="0" fillId="0" borderId="29" applyFont="1" applyNumberFormat="0" applyFill="0" applyBorder="1" applyAlignment="1">
      <alignment horizontal="center" vertical="center" textRotation="0" wrapText="false" shrinkToFit="true"/>
    </xf>
    <xf xfId="0" fontId="0" numFmtId="0" fillId="0" borderId="30" applyFont="0" applyNumberFormat="0" applyFill="0" applyBorder="1" applyAlignment="1">
      <alignment vertical="bottom" textRotation="0" wrapText="false" shrinkToFit="false"/>
    </xf>
    <xf xfId="0" fontId="0" numFmtId="0" fillId="0" borderId="31" applyFont="0" applyNumberFormat="0" applyFill="0" applyBorder="1" applyAlignment="1">
      <alignment vertical="bottom" textRotation="0" wrapText="false" shrinkToFit="false"/>
    </xf>
    <xf xfId="0" fontId="14" numFmtId="0" fillId="0" borderId="12" applyFont="1" applyNumberFormat="0" applyFill="0" applyBorder="1" applyAlignment="1">
      <alignment horizontal="left" vertical="center" textRotation="0" wrapText="false" shrinkToFit="false"/>
    </xf>
    <xf xfId="0" fontId="0" numFmtId="0" fillId="0" borderId="32" applyFont="0" applyNumberFormat="0" applyFill="0" applyBorder="1" applyAlignment="1">
      <alignment vertical="bottom" textRotation="0" wrapText="false" shrinkToFit="false"/>
    </xf>
    <xf xfId="0" fontId="0" numFmtId="0" fillId="0" borderId="1" applyFont="0" applyNumberFormat="0" applyFill="0" applyBorder="1" applyAlignment="1">
      <alignment vertical="bottom" textRotation="0" wrapText="false" shrinkToFit="false"/>
    </xf>
    <xf xfId="0" fontId="1" numFmtId="166" fillId="0" borderId="0" applyFont="1" applyNumberFormat="1" applyFill="0" applyBorder="0" applyAlignment="1">
      <alignment vertical="bottom" textRotation="0" wrapText="false" shrinkToFit="false"/>
    </xf>
    <xf xfId="0" fontId="2" numFmtId="167" fillId="8" borderId="5" applyFont="1" applyNumberFormat="1" applyFill="1" applyBorder="1" applyAlignment="1">
      <alignment vertical="center" textRotation="0" wrapText="true" shrinkToFit="false"/>
    </xf>
    <xf xfId="0" fontId="2" numFmtId="167" fillId="8" borderId="22" applyFont="1" applyNumberFormat="1" applyFill="1" applyBorder="1" applyAlignment="1">
      <alignment vertical="center" textRotation="0" wrapText="true" shrinkToFit="false"/>
    </xf>
    <xf xfId="0" fontId="2" numFmtId="167" fillId="11" borderId="5" applyFont="1" applyNumberFormat="1" applyFill="1" applyBorder="1" applyAlignment="1">
      <alignment vertical="center" textRotation="0" wrapText="true" shrinkToFit="false"/>
    </xf>
    <xf xfId="0" fontId="2" numFmtId="167" fillId="11" borderId="22" applyFont="1" applyNumberFormat="1" applyFill="1" applyBorder="1" applyAlignment="1">
      <alignment vertical="center" textRotation="0" wrapText="true" shrinkToFit="false"/>
    </xf>
    <xf xfId="0" fontId="2" numFmtId="167" fillId="11" borderId="12" applyFont="1" applyNumberFormat="1" applyFill="1" applyBorder="1" applyAlignment="1">
      <alignment vertical="center" textRotation="0" wrapText="true" shrinkToFit="false"/>
    </xf>
    <xf xfId="0" fontId="2" numFmtId="167" fillId="11" borderId="29" applyFont="1" applyNumberFormat="1" applyFill="1" applyBorder="1" applyAlignment="1">
      <alignment vertical="center" textRotation="0" wrapText="true" shrinkToFit="false"/>
    </xf>
    <xf xfId="0" fontId="2" numFmtId="165" fillId="6" borderId="22" applyFont="1" applyNumberFormat="1" applyFill="1" applyBorder="1" applyAlignment="1">
      <alignment horizontal="right" vertical="center" textRotation="0" wrapText="false" shrinkToFit="false"/>
    </xf>
    <xf xfId="0" fontId="0" numFmtId="0" fillId="0" borderId="33" applyFont="0" applyNumberFormat="0" applyFill="0" applyBorder="1" applyAlignment="1">
      <alignment vertical="bottom" textRotation="0" wrapText="false" shrinkToFit="false"/>
    </xf>
    <xf xfId="0" fontId="2" numFmtId="165" fillId="6" borderId="5" applyFont="1" applyNumberFormat="1" applyFill="1" applyBorder="1" applyAlignment="1">
      <alignment horizontal="right" vertical="center" textRotation="0" wrapText="false" shrinkToFit="false"/>
    </xf>
    <xf xfId="0" fontId="2" numFmtId="165" fillId="7" borderId="22" applyFont="1" applyNumberFormat="1" applyFill="1" applyBorder="1" applyAlignment="1">
      <alignment horizontal="right" vertical="center" textRotation="0" wrapText="false" shrinkToFit="false"/>
    </xf>
    <xf xfId="0" fontId="0" numFmtId="0" fillId="0" borderId="21" applyFont="0" applyNumberFormat="0" applyFill="0" applyBorder="1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cb4d670ef6413d06b24e245a2bb7d53.jpeg"/><Relationship Id="rId2" Type="http://schemas.openxmlformats.org/officeDocument/2006/relationships/image" Target="../media/a556f43ffde026fec2749a773a5a77df.jpeg"/><Relationship Id="rId3" Type="http://schemas.openxmlformats.org/officeDocument/2006/relationships/image" Target="../media/28c4392a459232a2984da2066efc4a8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371475</xdr:colOff>
      <xdr:row>0</xdr:row>
      <xdr:rowOff>66675</xdr:rowOff>
    </xdr:from>
    <xdr:ext cx="2343150" cy="523875"/>
    <xdr:pic>
      <xdr:nvPicPr>
        <xdr:cNvPr id="1" name="Picture 2" descr="C:\Users\JC\Desktop\work\브로셔\브로셔 이미지\싼카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</xdr:row>
      <xdr:rowOff>152400</xdr:rowOff>
    </xdr:from>
    <xdr:ext cx="3343275" cy="561975"/>
    <xdr:pic>
      <xdr:nvPicPr>
        <xdr:cNvPr id="2" name="Picture 3" descr="C:\Users\JC\Desktop\work\브로셔\브로셔 이미지\싼카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133350</xdr:colOff>
      <xdr:row>58</xdr:row>
      <xdr:rowOff>38100</xdr:rowOff>
    </xdr:from>
    <xdr:ext cx="2533650" cy="1343025"/>
    <xdr:pic>
      <xdr:nvPicPr>
        <xdr:cNvPr id="3" name="Picture 6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64"/>
  <sheetViews>
    <sheetView tabSelected="1" workbookViewId="0" zoomScale="80" zoomScaleNormal="90" view="pageBreakPreview" showGridLines="true" showRowColHeaders="1">
      <selection activeCell="F58" sqref="F58"/>
    </sheetView>
  </sheetViews>
  <sheetFormatPr defaultRowHeight="14.4" outlineLevelRow="0" outlineLevelCol="0"/>
  <cols>
    <col min="1" max="1" width="8.25" customWidth="true" style="41"/>
    <col min="2" max="2" width="14.875" customWidth="true" style="41"/>
    <col min="3" max="3" width="18.75" customWidth="true" style="41"/>
    <col min="4" max="4" width="7.625" customWidth="true" style="41"/>
    <col min="5" max="5" width="26.75" customWidth="true" style="41"/>
    <col min="6" max="6" width="18.375" customWidth="true" style="41"/>
    <col min="7" max="7" width="16.625" customWidth="true" style="41"/>
    <col min="8" max="8" width="4.375" customWidth="true" style="41"/>
    <col min="9" max="9" width="9" customWidth="true" style="41"/>
  </cols>
  <sheetData>
    <row r="1" spans="1:10" customHeight="1" ht="50.1" s="52" customFormat="1">
      <c r="A1" s="34"/>
      <c r="B1" s="53"/>
      <c r="C1" s="35"/>
      <c r="D1" s="13"/>
      <c r="E1" s="36" t="inlineStr">
        <is>
          <r>
            <t xml:space="preserve">PROFORMA CONTRACT</t>
          </r>
        </is>
      </c>
      <c r="F1" s="53"/>
      <c r="G1" s="54"/>
      <c r="H1" s="12"/>
      <c r="I1" s="52"/>
      <c r="J1" s="52"/>
    </row>
    <row r="2" spans="1:10">
      <c r="A2" s="37" t="s">
        <v>1</v>
      </c>
      <c r="B2" s="41"/>
      <c r="C2" s="41"/>
      <c r="D2" s="41"/>
      <c r="E2" s="41"/>
      <c r="F2" s="41"/>
      <c r="G2" s="4"/>
      <c r="H2" s="41"/>
      <c r="I2" s="41"/>
      <c r="J2"/>
    </row>
    <row r="3" spans="1:10" customHeight="1" ht="24.95" s="52" customFormat="1">
      <c r="A3" s="55"/>
      <c r="B3" s="52"/>
      <c r="C3" s="52"/>
      <c r="D3" s="52"/>
      <c r="E3" s="9" t="inlineStr">
        <is>
          <r>
            <t xml:space="preserve">Date</t>
          </r>
        </is>
      </c>
      <c r="F3" s="38" t="str">
        <f>TODAY()</f>
        <v>0</v>
      </c>
      <c r="G3" s="56"/>
      <c r="H3" s="52"/>
      <c r="I3" s="52"/>
      <c r="J3" s="52"/>
    </row>
    <row r="4" spans="1:10" customHeight="1" ht="24.95" s="52" customFormat="1">
      <c r="A4" s="11"/>
      <c r="B4" s="10"/>
      <c r="C4" s="10"/>
      <c r="D4" s="10"/>
      <c r="E4" s="9" t="inlineStr">
        <is>
          <r>
            <t xml:space="preserve">Invoice No.</t>
          </r>
        </is>
      </c>
      <c r="F4" s="39" t="inlineStr">
        <is>
          <r>
            <t xml:space="preserve">TRHU6652495</t>
          </r>
        </is>
      </c>
      <c r="G4" s="57"/>
      <c r="H4" s="52"/>
      <c r="I4" s="52"/>
      <c r="J4" s="52"/>
    </row>
    <row r="5" spans="1:10" customHeight="1" ht="24.95" s="52" customFormat="1">
      <c r="A5" s="40"/>
      <c r="B5" s="52"/>
      <c r="C5" s="52"/>
      <c r="D5" s="52"/>
      <c r="E5" s="9" t="inlineStr">
        <is>
          <r>
            <t xml:space="preserve">Name</t>
          </r>
        </is>
      </c>
      <c r="F5" s="42" t="inlineStr">
        <is>
          <r>
            <t xml:space="preserve">IMP. EXP. HANNA LTDA</t>
          </r>
        </is>
      </c>
      <c r="G5" s="57"/>
      <c r="H5" s="52"/>
      <c r="I5" s="52"/>
      <c r="J5" s="52"/>
    </row>
    <row r="6" spans="1:10" customHeight="1" ht="24.95" s="52" customFormat="1">
      <c r="A6" s="40"/>
      <c r="B6" s="52"/>
      <c r="C6" s="52"/>
      <c r="D6" s="52"/>
      <c r="E6" s="9" t="inlineStr">
        <is>
          <r>
            <t xml:space="preserve">Address</t>
          </r>
        </is>
      </c>
      <c r="F6" s="43"/>
      <c r="G6" s="57"/>
      <c r="H6" s="52"/>
      <c r="I6" s="52"/>
      <c r="J6" s="52"/>
    </row>
    <row r="7" spans="1:10" customHeight="1" ht="24.95" s="52" customFormat="1">
      <c r="A7" s="40"/>
      <c r="B7" s="52"/>
      <c r="C7" s="52"/>
      <c r="D7" s="52"/>
      <c r="E7" s="9" t="inlineStr">
        <is>
          <r>
            <t xml:space="preserve">Phone</t>
          </r>
        </is>
      </c>
      <c r="F7" s="44"/>
      <c r="G7" s="57"/>
      <c r="H7" s="52"/>
      <c r="I7" s="52"/>
      <c r="J7" s="52"/>
    </row>
    <row r="8" spans="1:10" customHeight="1" ht="24.95" s="52" customFormat="1">
      <c r="A8" s="40"/>
      <c r="B8" s="52"/>
      <c r="C8" s="52"/>
      <c r="D8" s="52"/>
      <c r="E8" s="9"/>
      <c r="F8" s="44"/>
      <c r="G8" s="57"/>
      <c r="H8" s="52"/>
      <c r="I8" s="52"/>
      <c r="J8" s="52"/>
    </row>
    <row r="9" spans="1:10" customHeight="1" ht="20.1" s="52" customFormat="1">
      <c r="A9" s="40"/>
      <c r="B9" s="52"/>
      <c r="C9" s="52"/>
      <c r="D9" s="7"/>
      <c r="E9" s="9" t="inlineStr">
        <is>
          <r>
            <t xml:space="preserve">Dollar Rate</t>
          </r>
        </is>
      </c>
      <c r="F9" s="46" t="inlineStr">
        <is>
          <r>
            <t xml:space="preserve"> </t>
          </r>
        </is>
      </c>
      <c r="G9" s="57"/>
      <c r="H9" s="52"/>
      <c r="I9" s="52"/>
      <c r="J9" s="52"/>
    </row>
    <row r="10" spans="1:10" customHeight="1" ht="24.95" s="52" customFormat="1">
      <c r="A10" s="48" t="inlineStr">
        <is>
          <r>
            <t xml:space="preserve">BANK ACCOUNT INFORMATION</t>
          </r>
        </is>
      </c>
      <c r="B10" s="58"/>
      <c r="C10" s="58"/>
      <c r="D10" s="58"/>
      <c r="E10" s="58"/>
      <c r="F10" s="58"/>
      <c r="G10" s="59"/>
      <c r="H10" s="52"/>
      <c r="I10" s="52"/>
      <c r="J10" s="52"/>
    </row>
    <row r="11" spans="1:10" customHeight="1" ht="20.1" s="52" customFormat="1">
      <c r="A11" s="32" t="inlineStr">
        <is>
          <r>
            <t xml:space="preserve">Beneficiary</t>
          </r>
        </is>
      </c>
      <c r="B11" s="60"/>
      <c r="C11" s="49" t="s">
        <v>13</v>
      </c>
      <c r="D11" s="60"/>
      <c r="E11" s="33" t="inlineStr">
        <is>
          <r>
            <t xml:space="preserve">Bank Name</t>
          </r>
        </is>
      </c>
      <c r="F11" s="49" t="s">
        <v>15</v>
      </c>
      <c r="G11" s="60"/>
      <c r="H11" s="52"/>
      <c r="I11" s="52"/>
      <c r="J11" s="52"/>
    </row>
    <row r="12" spans="1:10" customHeight="1" ht="20.1" s="52" customFormat="1">
      <c r="A12" s="32" t="inlineStr">
        <is>
          <r>
            <t xml:space="preserve">Swift Code</t>
          </r>
        </is>
      </c>
      <c r="B12" s="60"/>
      <c r="C12" s="49" t="s">
        <v>17</v>
      </c>
      <c r="D12" s="60"/>
      <c r="E12" s="33" t="inlineStr">
        <is>
          <r>
            <t xml:space="preserve">Bank Address</t>
          </r>
        </is>
      </c>
      <c r="F12" s="61" t="s">
        <v>19</v>
      </c>
      <c r="G12" s="62"/>
      <c r="H12" s="52"/>
      <c r="I12" s="52"/>
      <c r="J12" s="52"/>
    </row>
    <row r="13" spans="1:10" customHeight="1" ht="20.1" s="52" customFormat="1">
      <c r="A13" s="50" t="inlineStr">
        <is>
          <r>
            <t xml:space="preserve">Bank Account Number</t>
          </r>
        </is>
      </c>
      <c r="B13" s="63"/>
      <c r="C13" s="64" t="s">
        <v>21</v>
      </c>
      <c r="D13" s="63"/>
      <c r="E13" s="51" t="inlineStr">
        <is>
          <r>
            <t xml:space="preserve">Beneficiary Address</t>
          </r>
        </is>
      </c>
      <c r="F13" s="65"/>
      <c r="G13" s="66"/>
      <c r="H13" s="52"/>
      <c r="I13" s="52"/>
      <c r="J13" s="52"/>
    </row>
    <row r="14" spans="1:10" customHeight="1" ht="13.5" s="52" customFormat="1">
      <c r="A14" s="8"/>
      <c r="B14" s="52"/>
      <c r="C14" s="52"/>
      <c r="D14" s="7"/>
      <c r="E14" s="67"/>
      <c r="F14" s="52"/>
      <c r="G14" s="21"/>
      <c r="H14" s="52"/>
      <c r="I14" s="52"/>
      <c r="J14" s="52"/>
    </row>
    <row r="15" spans="1:10" customHeight="1" ht="24.95" s="52" customFormat="1">
      <c r="A15" s="14" t="inlineStr">
        <is>
          <r>
            <t xml:space="preserve">Code</t>
          </r>
        </is>
      </c>
      <c r="B15" s="22" t="inlineStr">
        <is>
          <r>
            <t xml:space="preserve">Brand</t>
          </r>
        </is>
      </c>
      <c r="C15" s="22" t="inlineStr">
        <is>
          <r>
            <t xml:space="preserve">Model</t>
          </r>
        </is>
      </c>
      <c r="D15" s="22" t="inlineStr">
        <is>
          <r>
            <t xml:space="preserve">Year</t>
          </r>
        </is>
      </c>
      <c r="E15" s="22" t="inlineStr">
        <is>
          <r>
            <t xml:space="preserve">Chassis No.</t>
          </r>
        </is>
      </c>
      <c r="F15" s="22" t="inlineStr">
        <is>
          <r>
            <t xml:space="preserve">FOB PRICE</t>
          </r>
        </is>
      </c>
      <c r="G15" s="20" t="inlineStr">
        <is>
          <r>
            <t xml:space="preserve">Shipping cost</t>
          </r>
        </is>
      </c>
      <c r="H15" s="52"/>
      <c r="I15" s="52"/>
      <c r="J15" s="52"/>
    </row>
    <row r="16" spans="1:10" customHeight="1" ht="20.1" s="52" customFormat="1">
      <c r="A16" s="6" t="str">
        <f>RIGHT(E16,6)</f>
        <v>0</v>
      </c>
      <c r="B16" s="30" t="inlineStr">
        <is>
          <r>
            <t xml:space="preserve">HYUNDAI</t>
          </r>
        </is>
      </c>
      <c r="C16" s="30" t="inlineStr">
        <is>
          <r>
            <t xml:space="preserve">ACCENT</t>
          </r>
        </is>
      </c>
      <c r="D16" s="31">
        <v>2016</v>
      </c>
      <c r="E16" s="31" t="inlineStr">
        <is>
          <r>
            <t xml:space="preserve">KMHCT51UGGU281238</t>
          </r>
        </is>
      </c>
      <c r="F16" s="68">
        <v>2300</v>
      </c>
      <c r="G16" s="69">
        <v>1075</v>
      </c>
      <c r="H16" s="52"/>
      <c r="I16" s="28" t="str">
        <f>F16+G16</f>
        <v>0</v>
      </c>
      <c r="J16" s="52"/>
    </row>
    <row r="17" spans="1:10" customHeight="1" ht="20.1" s="52" customFormat="1">
      <c r="A17" s="6" t="str">
        <f>RIGHT(E17,6)</f>
        <v>0</v>
      </c>
      <c r="B17" s="30" t="inlineStr">
        <is>
          <r>
            <t xml:space="preserve">HYUNDAI</t>
          </r>
        </is>
      </c>
      <c r="C17" s="30" t="inlineStr">
        <is>
          <r>
            <t xml:space="preserve">GRAND STAREX</t>
          </r>
        </is>
      </c>
      <c r="D17" s="31">
        <v>2017</v>
      </c>
      <c r="E17" s="31" t="inlineStr">
        <is>
          <r>
            <t xml:space="preserve">KMJWA37KBHU886217</t>
          </r>
        </is>
      </c>
      <c r="F17" s="68">
        <v>6400</v>
      </c>
      <c r="G17" s="69">
        <v>1075</v>
      </c>
      <c r="H17" s="52"/>
      <c r="I17" s="28" t="str">
        <f>F17+G17</f>
        <v>0</v>
      </c>
      <c r="J17" s="52"/>
    </row>
    <row r="18" spans="1:10" customHeight="1" ht="20.1" s="52" customFormat="1">
      <c r="A18" s="6" t="str">
        <f>RIGHT(E18,6)</f>
        <v>0</v>
      </c>
      <c r="B18" s="30" t="inlineStr">
        <is>
          <r>
            <t xml:space="preserve">HYUNDAI</t>
          </r>
        </is>
      </c>
      <c r="C18" s="30" t="inlineStr">
        <is>
          <r>
            <t xml:space="preserve">GRAND STAREX</t>
          </r>
        </is>
      </c>
      <c r="D18" s="31">
        <v>2015</v>
      </c>
      <c r="E18" s="31" t="inlineStr">
        <is>
          <r>
            <t xml:space="preserve">KMJWA37KAFU680072</t>
          </r>
        </is>
      </c>
      <c r="F18" s="68">
        <v>5100</v>
      </c>
      <c r="G18" s="69">
        <v>1075</v>
      </c>
      <c r="H18" s="52"/>
      <c r="I18" s="28" t="str">
        <f>F18+G18</f>
        <v>0</v>
      </c>
      <c r="J18" s="52"/>
    </row>
    <row r="19" spans="1:10" customHeight="1" ht="20.1" s="52" customFormat="1">
      <c r="A19" s="6" t="str">
        <f>RIGHT(E19,6)</f>
        <v>0</v>
      </c>
      <c r="B19" s="30" t="inlineStr">
        <is>
          <r>
            <t xml:space="preserve">HYUNDAI</t>
          </r>
        </is>
      </c>
      <c r="C19" s="30" t="inlineStr">
        <is>
          <r>
            <t xml:space="preserve">ACCENT</t>
          </r>
        </is>
      </c>
      <c r="D19" s="31">
        <v>2014</v>
      </c>
      <c r="E19" s="31" t="inlineStr">
        <is>
          <r>
            <t xml:space="preserve">KMHCS41UBEU687864</t>
          </r>
        </is>
      </c>
      <c r="F19" s="68">
        <v>1600</v>
      </c>
      <c r="G19" s="69">
        <v>1075</v>
      </c>
      <c r="H19" s="52"/>
      <c r="I19" s="28" t="str">
        <f>F19+G19</f>
        <v>0</v>
      </c>
      <c r="J19" s="52"/>
    </row>
    <row r="20" spans="1:10" customHeight="1" ht="20.1" s="52" customFormat="1">
      <c r="A20" s="6" t="str">
        <f>RIGHT(E20,6)</f>
        <v>0</v>
      </c>
      <c r="B20" s="5"/>
      <c r="C20" s="5"/>
      <c r="D20" s="5"/>
      <c r="E20" s="5"/>
      <c r="F20" s="70"/>
      <c r="G20" s="71"/>
      <c r="H20" s="52"/>
      <c r="I20" s="28" t="str">
        <f>F20+G20</f>
        <v>0</v>
      </c>
      <c r="J20" s="52"/>
    </row>
    <row r="21" spans="1:10" customHeight="1" ht="20.1" s="52" customFormat="1">
      <c r="A21" s="6" t="str">
        <f>RIGHT(E21,6)</f>
        <v>0</v>
      </c>
      <c r="B21" s="5"/>
      <c r="C21" s="5"/>
      <c r="D21" s="5"/>
      <c r="E21" s="5"/>
      <c r="F21" s="70"/>
      <c r="G21" s="71"/>
      <c r="H21" s="52"/>
      <c r="I21" s="28" t="str">
        <f>F21+G21</f>
        <v>0</v>
      </c>
      <c r="J21" s="52"/>
    </row>
    <row r="22" spans="1:10" customHeight="1" ht="20.1" s="52" customFormat="1">
      <c r="A22" s="6" t="str">
        <f>RIGHT(E22,6)</f>
        <v>0</v>
      </c>
      <c r="B22" s="5"/>
      <c r="C22" s="5"/>
      <c r="D22" s="5"/>
      <c r="E22" s="5"/>
      <c r="F22" s="70"/>
      <c r="G22" s="71"/>
      <c r="H22" s="52"/>
      <c r="I22" s="28" t="str">
        <f>F22+G22</f>
        <v>0</v>
      </c>
      <c r="J22" s="52"/>
    </row>
    <row r="23" spans="1:10" customHeight="1" ht="20.1" s="52" customFormat="1">
      <c r="A23" s="6" t="str">
        <f>RIGHT(E23,6)</f>
        <v>0</v>
      </c>
      <c r="B23" s="5"/>
      <c r="C23" s="5"/>
      <c r="D23" s="5"/>
      <c r="E23" s="5"/>
      <c r="F23" s="70"/>
      <c r="G23" s="71"/>
      <c r="H23" s="52"/>
      <c r="I23" s="28" t="str">
        <f>F23+G23</f>
        <v>0</v>
      </c>
      <c r="J23" s="52"/>
    </row>
    <row r="24" spans="1:10" customHeight="1" ht="20.1" s="52" customFormat="1">
      <c r="A24" s="6" t="str">
        <f>RIGHT(E24,6)</f>
        <v>0</v>
      </c>
      <c r="B24" s="5"/>
      <c r="C24" s="5"/>
      <c r="D24" s="5"/>
      <c r="E24" s="5" t="inlineStr">
        <is>
          <r>
            <t xml:space="preserve"> </t>
          </r>
        </is>
      </c>
      <c r="F24" s="70"/>
      <c r="G24" s="71"/>
      <c r="H24" s="52"/>
      <c r="I24" s="28" t="str">
        <f>F24+G24</f>
        <v>0</v>
      </c>
      <c r="J24" s="52"/>
    </row>
    <row r="25" spans="1:10" customHeight="1" ht="20.1" s="52" customFormat="1">
      <c r="A25" s="6" t="str">
        <f>RIGHT(E25,6)</f>
        <v>0</v>
      </c>
      <c r="B25" s="5"/>
      <c r="C25" s="5"/>
      <c r="D25" s="5"/>
      <c r="E25" s="5"/>
      <c r="F25" s="70"/>
      <c r="G25" s="71"/>
      <c r="H25" s="52"/>
      <c r="I25" s="28" t="str">
        <f>F25+G25</f>
        <v>0</v>
      </c>
      <c r="J25" s="52"/>
    </row>
    <row r="26" spans="1:10" customHeight="1" ht="20.1" s="52" customFormat="1">
      <c r="A26" s="6" t="str">
        <f>RIGHT(E26,6)</f>
        <v>0</v>
      </c>
      <c r="B26" s="17"/>
      <c r="C26" s="17"/>
      <c r="D26" s="17"/>
      <c r="E26" s="17"/>
      <c r="F26" s="72"/>
      <c r="G26" s="73"/>
      <c r="H26" s="52"/>
      <c r="I26" s="28" t="str">
        <f>F26+G26</f>
        <v>0</v>
      </c>
      <c r="J26" s="52"/>
    </row>
    <row r="27" spans="1:10" customHeight="1" ht="20.1">
      <c r="A27" s="6" t="str">
        <f>RIGHT(E27,6)</f>
        <v>0</v>
      </c>
      <c r="B27" s="17"/>
      <c r="C27" s="17"/>
      <c r="D27" s="17"/>
      <c r="E27" s="17"/>
      <c r="F27" s="72"/>
      <c r="G27" s="73"/>
      <c r="H27" s="52"/>
      <c r="I27" s="28" t="str">
        <f>F27+G27</f>
        <v>0</v>
      </c>
      <c r="J27" s="52"/>
    </row>
    <row r="28" spans="1:10" customHeight="1" ht="20.1">
      <c r="A28" s="6" t="str">
        <f>RIGHT(E28,6)</f>
        <v>0</v>
      </c>
      <c r="B28" s="17"/>
      <c r="C28" s="17"/>
      <c r="D28" s="17"/>
      <c r="E28" s="17"/>
      <c r="F28" s="72"/>
      <c r="G28" s="73"/>
      <c r="H28" s="52"/>
      <c r="I28" s="28" t="str">
        <f>F28+G28</f>
        <v>0</v>
      </c>
      <c r="J28" s="52"/>
    </row>
    <row r="29" spans="1:10" customHeight="1" ht="20.1">
      <c r="A29" s="6" t="str">
        <f>RIGHT(E29,6)</f>
        <v>0</v>
      </c>
      <c r="B29" s="17"/>
      <c r="C29" s="17"/>
      <c r="D29" s="17"/>
      <c r="E29" s="17"/>
      <c r="F29" s="72"/>
      <c r="G29" s="73"/>
      <c r="H29" s="52"/>
      <c r="I29" s="28" t="str">
        <f>F29+G29</f>
        <v>0</v>
      </c>
      <c r="J29" s="52"/>
    </row>
    <row r="30" spans="1:10" customHeight="1" ht="20.1">
      <c r="A30" s="6" t="str">
        <f>RIGHT(E30,6)</f>
        <v>0</v>
      </c>
      <c r="B30" s="17"/>
      <c r="C30" s="17"/>
      <c r="D30" s="17"/>
      <c r="E30" s="17"/>
      <c r="F30" s="72"/>
      <c r="G30" s="73"/>
      <c r="H30" s="52"/>
      <c r="I30" s="28" t="str">
        <f>F30+G30</f>
        <v>0</v>
      </c>
      <c r="J30" s="52"/>
    </row>
    <row r="31" spans="1:10" customHeight="1" ht="20.1">
      <c r="A31" s="6" t="str">
        <f>RIGHT(E31,6)</f>
        <v>0</v>
      </c>
      <c r="B31" s="17"/>
      <c r="C31" s="17"/>
      <c r="D31" s="17"/>
      <c r="E31" s="17"/>
      <c r="F31" s="72"/>
      <c r="G31" s="73"/>
      <c r="H31" s="52"/>
      <c r="I31" s="28" t="str">
        <f>F31+G31</f>
        <v>0</v>
      </c>
      <c r="J31" s="52"/>
    </row>
    <row r="32" spans="1:10" customHeight="1" ht="20.1">
      <c r="A32" s="6" t="str">
        <f>RIGHT(E32,6)</f>
        <v>0</v>
      </c>
      <c r="B32" s="17"/>
      <c r="C32" s="17"/>
      <c r="D32" s="17"/>
      <c r="E32" s="17"/>
      <c r="F32" s="72"/>
      <c r="G32" s="73"/>
      <c r="H32" s="52"/>
      <c r="I32" s="28" t="str">
        <f>F32+G32</f>
        <v>0</v>
      </c>
      <c r="J32" s="52"/>
    </row>
    <row r="33" spans="1:10" customHeight="1" ht="20.1">
      <c r="A33" s="6" t="str">
        <f>RIGHT(E33,6)</f>
        <v>0</v>
      </c>
      <c r="B33" s="17"/>
      <c r="C33" s="17"/>
      <c r="D33" s="17"/>
      <c r="E33" s="17"/>
      <c r="F33" s="72"/>
      <c r="G33" s="73"/>
      <c r="H33" s="52"/>
      <c r="I33" s="28" t="str">
        <f>F33+G33</f>
        <v>0</v>
      </c>
      <c r="J33" s="52"/>
    </row>
    <row r="34" spans="1:10" customHeight="1" ht="20.1">
      <c r="A34" s="6" t="str">
        <f>RIGHT(E34,6)</f>
        <v>0</v>
      </c>
      <c r="B34" s="17"/>
      <c r="C34" s="17"/>
      <c r="D34" s="17"/>
      <c r="E34" s="17"/>
      <c r="F34" s="72"/>
      <c r="G34" s="73"/>
      <c r="H34" s="52"/>
      <c r="I34" s="28" t="str">
        <f>F34+G34</f>
        <v>0</v>
      </c>
      <c r="J34" s="52"/>
    </row>
    <row r="35" spans="1:10" customHeight="1" ht="20.1">
      <c r="A35" s="6" t="str">
        <f>RIGHT(E35,6)</f>
        <v>0</v>
      </c>
      <c r="B35" s="17"/>
      <c r="C35" s="17"/>
      <c r="D35" s="17"/>
      <c r="E35" s="17"/>
      <c r="F35" s="72"/>
      <c r="G35" s="73"/>
      <c r="H35" s="52"/>
      <c r="I35" s="28" t="str">
        <f>F35+G35</f>
        <v>0</v>
      </c>
      <c r="J35" s="52"/>
    </row>
    <row r="36" spans="1:10" customHeight="1" ht="20.1">
      <c r="A36" s="6" t="str">
        <f>RIGHT(E36,6)</f>
        <v>0</v>
      </c>
      <c r="B36" s="17"/>
      <c r="C36" s="17"/>
      <c r="D36" s="17"/>
      <c r="E36" s="17"/>
      <c r="F36" s="72"/>
      <c r="G36" s="73"/>
      <c r="H36" s="52"/>
      <c r="I36" s="28" t="str">
        <f>F36+G36</f>
        <v>0</v>
      </c>
      <c r="J36" s="52"/>
    </row>
    <row r="37" spans="1:10" customHeight="1" ht="20.1">
      <c r="A37" s="6" t="str">
        <f>RIGHT(E37,6)</f>
        <v>0</v>
      </c>
      <c r="B37" s="17"/>
      <c r="C37" s="17"/>
      <c r="D37" s="17"/>
      <c r="E37" s="17"/>
      <c r="F37" s="72"/>
      <c r="G37" s="73"/>
      <c r="H37" s="52"/>
      <c r="I37" s="28" t="str">
        <f>F37+G37</f>
        <v>0</v>
      </c>
      <c r="J37" s="52"/>
    </row>
    <row r="38" spans="1:10" customHeight="1" ht="20.1">
      <c r="A38" s="6" t="str">
        <f>RIGHT(E38,6)</f>
        <v>0</v>
      </c>
      <c r="B38" s="17"/>
      <c r="C38" s="17"/>
      <c r="D38" s="17"/>
      <c r="E38" s="17"/>
      <c r="F38" s="72"/>
      <c r="G38" s="73"/>
      <c r="H38" s="52"/>
      <c r="I38" s="28" t="str">
        <f>F38+G38</f>
        <v>0</v>
      </c>
      <c r="J38" s="52"/>
    </row>
    <row r="39" spans="1:10" customHeight="1" ht="20.1">
      <c r="A39" s="6" t="str">
        <f>RIGHT(E39,6)</f>
        <v>0</v>
      </c>
      <c r="B39" s="17"/>
      <c r="C39" s="17"/>
      <c r="D39" s="17"/>
      <c r="E39" s="17"/>
      <c r="F39" s="72"/>
      <c r="G39" s="73"/>
      <c r="H39" s="52"/>
      <c r="I39" s="28" t="str">
        <f>F39+G39</f>
        <v>0</v>
      </c>
      <c r="J39" s="52"/>
    </row>
    <row r="40" spans="1:10" customHeight="1" ht="20.1">
      <c r="A40" s="6" t="str">
        <f>RIGHT(E40,6)</f>
        <v>0</v>
      </c>
      <c r="B40" s="17"/>
      <c r="C40" s="17"/>
      <c r="D40" s="17"/>
      <c r="E40" s="17"/>
      <c r="F40" s="72"/>
      <c r="G40" s="73"/>
      <c r="H40" s="52"/>
      <c r="I40" s="28" t="str">
        <f>F40+G40</f>
        <v>0</v>
      </c>
      <c r="J40" s="52"/>
    </row>
    <row r="41" spans="1:10" customHeight="1" ht="20.1">
      <c r="A41" s="6" t="str">
        <f>RIGHT(E41,6)</f>
        <v>0</v>
      </c>
      <c r="B41" s="17"/>
      <c r="C41" s="17"/>
      <c r="D41" s="17"/>
      <c r="E41" s="17"/>
      <c r="F41" s="72"/>
      <c r="G41" s="73"/>
      <c r="H41" s="52"/>
      <c r="I41" s="28" t="str">
        <f>F41+G41</f>
        <v>0</v>
      </c>
      <c r="J41" s="52"/>
    </row>
    <row r="42" spans="1:10" customHeight="1" ht="20.1">
      <c r="A42" s="6" t="str">
        <f>RIGHT(E42,6)</f>
        <v>0</v>
      </c>
      <c r="B42" s="17"/>
      <c r="C42" s="17"/>
      <c r="D42" s="17"/>
      <c r="E42" s="17"/>
      <c r="F42" s="72"/>
      <c r="G42" s="73"/>
      <c r="H42" s="52"/>
      <c r="I42" s="28" t="str">
        <f>F42+G42</f>
        <v>0</v>
      </c>
      <c r="J42" s="52"/>
    </row>
    <row r="43" spans="1:10" customHeight="1" ht="20.1">
      <c r="A43" s="6" t="str">
        <f>RIGHT(E43,6)</f>
        <v>0</v>
      </c>
      <c r="B43" s="17"/>
      <c r="C43" s="17"/>
      <c r="D43" s="17"/>
      <c r="E43" s="17"/>
      <c r="F43" s="72"/>
      <c r="G43" s="73"/>
      <c r="H43" s="52"/>
      <c r="I43" s="28" t="str">
        <f>F43+G43</f>
        <v>0</v>
      </c>
      <c r="J43" s="52"/>
    </row>
    <row r="44" spans="1:10" customHeight="1" ht="20.1">
      <c r="A44" s="6" t="str">
        <f>RIGHT(E44,6)</f>
        <v>0</v>
      </c>
      <c r="B44" s="17"/>
      <c r="C44" s="17"/>
      <c r="D44" s="17"/>
      <c r="E44" s="17"/>
      <c r="F44" s="72"/>
      <c r="G44" s="73"/>
      <c r="H44" s="52"/>
      <c r="I44" s="28" t="str">
        <f>F44+G44</f>
        <v>0</v>
      </c>
      <c r="J44" s="52"/>
    </row>
    <row r="45" spans="1:10" customHeight="1" ht="20.1">
      <c r="A45" s="6" t="str">
        <f>RIGHT(E45,6)</f>
        <v>0</v>
      </c>
      <c r="B45" s="17"/>
      <c r="C45" s="17"/>
      <c r="D45" s="17"/>
      <c r="E45" s="17"/>
      <c r="F45" s="72"/>
      <c r="G45" s="73"/>
      <c r="H45" s="52"/>
      <c r="I45" s="28" t="str">
        <f>F45+G45</f>
        <v>0</v>
      </c>
      <c r="J45" s="52"/>
    </row>
    <row r="46" spans="1:10" customHeight="1" ht="24.95" s="52" customFormat="1">
      <c r="A46" s="15"/>
      <c r="B46" s="16"/>
      <c r="C46" s="16"/>
      <c r="D46" s="16"/>
      <c r="E46" s="18" t="inlineStr">
        <is>
          <r>
            <t xml:space="preserve">SUB TOTAL</t>
          </r>
        </is>
      </c>
      <c r="F46" s="47" t="str">
        <f>SUM(F16:G45)</f>
        <v>0</v>
      </c>
      <c r="G46" s="75"/>
      <c r="H46" s="52"/>
      <c r="I46" s="28" t="str">
        <f>SUM(F16:F45)</f>
        <v>0</v>
      </c>
      <c r="J46" s="29" t="inlineStr">
        <is>
          <r>
            <t xml:space="preserve">FOB PRICE</t>
          </r>
        </is>
      </c>
    </row>
    <row r="47" spans="1:10" customHeight="1" ht="15.95" s="52" customFormat="1">
      <c r="A47" s="6"/>
      <c r="B47" s="5"/>
      <c r="C47" s="5"/>
      <c r="D47" s="5"/>
      <c r="E47" s="23" t="inlineStr">
        <is>
          <r>
            <t xml:space="preserve"> </t>
          </r>
        </is>
      </c>
      <c r="F47" s="74" t="inlineStr">
        <is>
          <r>
            <t xml:space="preserve"> </t>
          </r>
        </is>
      </c>
      <c r="G47" s="75"/>
      <c r="H47" s="52"/>
      <c r="I47" s="28" t="str">
        <f>SUM(G16:G45)</f>
        <v>0</v>
      </c>
      <c r="J47" s="29" t="inlineStr">
        <is>
          <r>
            <t xml:space="preserve">Shipping cost</t>
          </r>
        </is>
      </c>
    </row>
    <row r="48" spans="1:10" customHeight="1" ht="15.95" s="52" customFormat="1">
      <c r="A48" s="6"/>
      <c r="B48" s="5"/>
      <c r="C48" s="5"/>
      <c r="D48" s="5"/>
      <c r="E48" s="23"/>
      <c r="F48" s="74" t="inlineStr">
        <is>
          <r>
            <t xml:space="preserve"> </t>
          </r>
        </is>
      </c>
      <c r="G48" s="75"/>
      <c r="H48" s="52"/>
      <c r="I48" s="52"/>
      <c r="J48" s="52"/>
    </row>
    <row r="49" spans="1:10" customHeight="1" ht="15.95" s="52" customFormat="1">
      <c r="A49" s="6"/>
      <c r="B49" s="5"/>
      <c r="C49" s="5"/>
      <c r="D49" s="5"/>
      <c r="E49" s="23"/>
      <c r="F49" s="76"/>
      <c r="G49" s="60"/>
      <c r="H49" s="52"/>
      <c r="I49" s="52"/>
      <c r="J49" s="52"/>
    </row>
    <row r="50" spans="1:10" customHeight="1" ht="15.95" s="52" customFormat="1">
      <c r="A50" s="6"/>
      <c r="B50" s="5"/>
      <c r="C50" s="5"/>
      <c r="D50" s="5"/>
      <c r="E50" s="23"/>
      <c r="F50" s="76"/>
      <c r="G50" s="60"/>
      <c r="H50" s="52"/>
      <c r="I50" s="52"/>
      <c r="J50" s="52"/>
    </row>
    <row r="51" spans="1:10" customHeight="1" ht="15.95" s="52" customFormat="1">
      <c r="A51" s="6"/>
      <c r="B51" s="5"/>
      <c r="C51" s="5"/>
      <c r="D51" s="5"/>
      <c r="E51" s="24"/>
      <c r="F51" s="76"/>
      <c r="G51" s="60"/>
      <c r="H51" s="52"/>
      <c r="I51" s="52"/>
      <c r="J51" s="52"/>
    </row>
    <row r="52" spans="1:10" customHeight="1" ht="24.95" s="52" customFormat="1">
      <c r="A52" s="6"/>
      <c r="B52" s="5"/>
      <c r="C52" s="5"/>
      <c r="D52" s="5"/>
      <c r="E52" s="27" t="inlineStr">
        <is>
          <r>
            <t xml:space="preserve">TOTAL</t>
          </r>
        </is>
      </c>
      <c r="F52" s="47" t="str">
        <f>SUM(F46:G51)</f>
        <v>0</v>
      </c>
      <c r="G52" s="75"/>
      <c r="H52" s="52"/>
      <c r="I52" s="52"/>
      <c r="J52" s="52"/>
    </row>
    <row r="53" spans="1:10" customHeight="1" ht="15.95" s="52" customFormat="1">
      <c r="A53" s="6"/>
      <c r="B53" s="5"/>
      <c r="C53" s="5"/>
      <c r="D53" s="25" t="inlineStr">
        <is>
          <r>
            <t xml:space="preserve"> </t>
          </r>
        </is>
      </c>
      <c r="E53" s="26" t="inlineStr">
        <is>
          <r>
            <t xml:space="preserve"> </t>
          </r>
        </is>
      </c>
      <c r="F53" s="77"/>
      <c r="G53" s="75"/>
      <c r="H53" s="52"/>
      <c r="I53" s="52"/>
      <c r="J53" s="52"/>
    </row>
    <row r="54" spans="1:10" customHeight="1" ht="15.95" s="52" customFormat="1">
      <c r="A54" s="6"/>
      <c r="B54" s="5"/>
      <c r="C54" s="5"/>
      <c r="D54" s="25"/>
      <c r="E54" s="26"/>
      <c r="F54" s="77"/>
      <c r="G54" s="75"/>
      <c r="H54" s="52"/>
      <c r="I54" s="52"/>
      <c r="J54" s="52"/>
    </row>
    <row r="55" spans="1:10" customHeight="1" ht="15.95" s="52" customFormat="1">
      <c r="A55" s="6"/>
      <c r="B55" s="5"/>
      <c r="C55" s="5"/>
      <c r="D55" s="25"/>
      <c r="E55" s="26"/>
      <c r="F55" s="77"/>
      <c r="G55" s="75"/>
      <c r="H55" s="52"/>
      <c r="I55" s="52"/>
      <c r="J55" s="52"/>
    </row>
    <row r="56" spans="1:10" customHeight="1" ht="15.95" s="52" customFormat="1">
      <c r="A56" s="6"/>
      <c r="B56" s="5"/>
      <c r="C56" s="5"/>
      <c r="D56" s="25"/>
      <c r="E56" s="26"/>
      <c r="F56" s="77"/>
      <c r="G56" s="75"/>
      <c r="H56" s="52"/>
      <c r="I56" s="52"/>
      <c r="J56" s="52"/>
    </row>
    <row r="57" spans="1:10" customHeight="1" ht="15.95" s="52" customFormat="1">
      <c r="A57" s="6"/>
      <c r="B57" s="5"/>
      <c r="C57" s="5"/>
      <c r="D57" s="25"/>
      <c r="E57" s="26"/>
      <c r="F57" s="77"/>
      <c r="G57" s="75"/>
      <c r="H57" s="52"/>
      <c r="I57" s="52"/>
      <c r="J57" s="52"/>
    </row>
    <row r="58" spans="1:10" customHeight="1" ht="24.95" s="52" customFormat="1">
      <c r="A58" s="6"/>
      <c r="B58" s="5"/>
      <c r="C58" s="5"/>
      <c r="D58" s="25"/>
      <c r="E58" s="19" t="inlineStr">
        <is>
          <r>
            <t xml:space="preserve">BALANCE MONEY</t>
          </r>
        </is>
      </c>
      <c r="F58" s="45" t="str">
        <f>SUM(F52-F53-F54-F55-F56-F57)</f>
        <v>0</v>
      </c>
      <c r="G58" s="78"/>
      <c r="H58" s="52"/>
      <c r="I58" s="52"/>
      <c r="J58" s="52"/>
    </row>
    <row r="59" spans="1:10" customHeight="1" ht="20.1" s="52" customFormat="1">
      <c r="A59" s="40"/>
      <c r="B59" s="52"/>
      <c r="C59" s="52"/>
      <c r="D59" s="52"/>
      <c r="E59" s="52"/>
      <c r="F59" s="41" t="inlineStr">
        <is>
          <r>
            <t xml:space="preserve">.</t>
          </r>
        </is>
      </c>
      <c r="G59" s="4"/>
      <c r="H59" s="52"/>
      <c r="I59" s="52"/>
      <c r="J59" s="52"/>
    </row>
    <row r="60" spans="1:10" customHeight="1" ht="20.1" s="52" customFormat="1">
      <c r="A60" s="40"/>
      <c r="B60" s="52"/>
      <c r="C60" s="52"/>
      <c r="D60" s="52"/>
      <c r="E60" s="52"/>
      <c r="F60" s="52"/>
      <c r="G60" s="4"/>
      <c r="H60" s="52"/>
      <c r="I60" s="52"/>
      <c r="J60" s="52"/>
    </row>
    <row r="61" spans="1:10" customHeight="1" ht="20.1" s="52" customFormat="1">
      <c r="A61" s="40"/>
      <c r="B61" s="52"/>
      <c r="C61" s="52"/>
      <c r="D61" s="52"/>
      <c r="E61" s="52"/>
      <c r="F61" s="52"/>
      <c r="G61" s="4"/>
      <c r="H61" s="52"/>
      <c r="I61" s="52"/>
      <c r="J61" s="52"/>
    </row>
    <row r="62" spans="1:10" customHeight="1" ht="20.1" s="52" customFormat="1">
      <c r="A62" s="40"/>
      <c r="B62" s="52"/>
      <c r="C62" s="52"/>
      <c r="D62" s="52"/>
      <c r="E62" s="52"/>
      <c r="F62" s="52"/>
      <c r="G62" s="4"/>
      <c r="H62" s="52"/>
      <c r="I62" s="52"/>
      <c r="J62" s="52"/>
    </row>
    <row r="63" spans="1:10" customHeight="1" ht="20.1" s="52" customFormat="1">
      <c r="A63" s="40"/>
      <c r="B63" s="52"/>
      <c r="C63" s="52"/>
      <c r="D63" s="52"/>
      <c r="E63" s="52"/>
      <c r="F63" s="52"/>
      <c r="G63" s="4"/>
      <c r="H63" s="52"/>
      <c r="I63" s="52"/>
      <c r="J63" s="52"/>
    </row>
    <row r="64" spans="1:10" customHeight="1" ht="20.1" s="52" customFormat="1">
      <c r="A64" s="3"/>
      <c r="B64" s="2"/>
      <c r="C64" s="2"/>
      <c r="D64" s="2"/>
      <c r="E64" s="2"/>
      <c r="F64" s="2"/>
      <c r="G64" s="1"/>
      <c r="H64" s="52"/>
      <c r="I64" s="52"/>
      <c r="J64" s="52"/>
    </row>
  </sheetData>
  <mergeCells>
    <mergeCell ref="F4:G4"/>
    <mergeCell ref="F11:G11"/>
    <mergeCell ref="F48:G48"/>
    <mergeCell ref="A11:B11"/>
    <mergeCell ref="F53:G53"/>
    <mergeCell ref="F6:G6"/>
    <mergeCell ref="A1:B1"/>
    <mergeCell ref="A6:B6"/>
    <mergeCell ref="A10:G10"/>
    <mergeCell ref="F7:G7"/>
    <mergeCell ref="F3:G3"/>
    <mergeCell ref="F49:G49"/>
    <mergeCell ref="A7:B7"/>
    <mergeCell ref="F5:G5"/>
    <mergeCell ref="F52:G52"/>
    <mergeCell ref="F55:G55"/>
    <mergeCell ref="F51:G51"/>
    <mergeCell ref="A2:D3"/>
    <mergeCell ref="F54:G54"/>
    <mergeCell ref="F8:G8"/>
    <mergeCell ref="A12:B12"/>
    <mergeCell ref="C12:D12"/>
    <mergeCell ref="F57:G57"/>
    <mergeCell ref="C11:D11"/>
    <mergeCell ref="A5:B5"/>
    <mergeCell ref="F50:G50"/>
    <mergeCell ref="F47:G47"/>
    <mergeCell ref="F46:G46"/>
    <mergeCell ref="A8:B8"/>
    <mergeCell ref="F9:G9"/>
    <mergeCell ref="F58:G58"/>
    <mergeCell ref="F56:G56"/>
    <mergeCell ref="F12:G13"/>
    <mergeCell ref="A13:B13"/>
    <mergeCell ref="C13:D13"/>
    <mergeCell ref="A9:B9"/>
    <mergeCell ref="E1:G1"/>
  </mergeCells>
  <printOptions gridLines="false" gridLinesSet="true" horizontalCentered="true" verticalCentered="true"/>
  <pageMargins left="0.39370078740157" right="0.39370078740157" top="0.78740157480315" bottom="0.78740157480315" header="0.31496062992126" footer="0.31496062992126"/>
  <pageSetup paperSize="9" orientation="portrait" scale="75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HBB340.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SSANCAR</dc:creator>
  <cp:lastModifiedBy>choi young suk</cp:lastModifiedBy>
  <dcterms:created xsi:type="dcterms:W3CDTF">2022-01-24T14:08:09+09:00</dcterms:created>
  <dcterms:modified xsi:type="dcterms:W3CDTF">2026-05-24T14:10:10+09:00</dcterms:modified>
  <dc:title/>
  <dc:description/>
  <dc:subject/>
  <cp:keywords/>
  <cp:category/>
</cp:coreProperties>
</file>