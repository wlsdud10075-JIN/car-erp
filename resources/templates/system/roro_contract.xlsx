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00" yWindow="6570" windowWidth="20970" windowHeight="13815" tabRatio="600" firstSheet="0" activeTab="0" autoFilterDateGrouping="1"/>
  </bookViews>
  <sheets>
    <sheet xmlns:r="http://schemas.openxmlformats.org/officeDocument/2006/relationships" name="HBB340." sheetId="1" state="visible" r:id="rId1"/>
  </sheets>
  <definedNames>
    <definedName name="_xlnm.Print_Area" localSheetId="0">'HBB340.'!$A$1:$G$47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\$#,##0_);[Red]\(\$#,##0\)"/>
    <numFmt numFmtId="166" formatCode="#,##0_ ;[Red]\-#,##0\ "/>
    <numFmt numFmtId="167" formatCode="\$#,##0;[Red]\-\$#,##0"/>
  </numFmts>
  <fonts count="26">
    <font>
      <name val="맑은 고딕"/>
      <charset val="129"/>
      <family val="2"/>
      <color theme="1"/>
      <sz val="11"/>
      <scheme val="minor"/>
    </font>
    <font>
      <name val="Arial"/>
      <family val="2"/>
      <color rgb="FF000000"/>
      <sz val="10"/>
    </font>
    <font>
      <name val="맑은 고딕"/>
      <charset val="129"/>
      <family val="2"/>
      <sz val="8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Impact"/>
      <family val="2"/>
      <color rgb="FF000000"/>
      <sz val="16"/>
    </font>
    <font>
      <name val="Arial"/>
      <family val="2"/>
      <b val="1"/>
      <color rgb="FF000000"/>
      <sz val="10"/>
    </font>
    <font>
      <name val="돋움"/>
      <charset val="129"/>
      <family val="3"/>
      <sz val="8"/>
    </font>
    <font>
      <name val="Arial"/>
      <family val="2"/>
      <color rgb="FF000000"/>
      <sz val="9"/>
    </font>
    <font>
      <name val="Tahoma"/>
      <family val="2"/>
      <color rgb="FF000000"/>
      <sz val="9"/>
    </font>
    <font>
      <name val="Arial"/>
      <family val="2"/>
      <color rgb="FF0563C1"/>
      <sz val="10"/>
      <u val="single"/>
    </font>
    <font>
      <name val="Arial"/>
      <family val="2"/>
      <b val="1"/>
      <i val="1"/>
      <color rgb="FF000000"/>
      <sz val="8"/>
    </font>
    <font>
      <name val="Arial"/>
      <family val="2"/>
      <b val="1"/>
      <color rgb="FFFF0000"/>
      <sz val="20"/>
    </font>
    <font>
      <name val="Arial Black"/>
      <family val="2"/>
      <color rgb="FFFFFFFF"/>
      <sz val="26"/>
      <u val="single"/>
    </font>
    <font>
      <name val="Arial"/>
      <family val="2"/>
      <b val="1"/>
      <color rgb="FFFF0000"/>
      <sz val="18"/>
    </font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indexed="8"/>
      <sz val="11"/>
    </font>
    <font>
      <name val="굴림"/>
      <charset val="129"/>
      <family val="3"/>
      <sz val="10"/>
    </font>
    <font>
      <name val="나눔고딕"/>
      <charset val="129"/>
      <family val="2"/>
      <color theme="1"/>
      <sz val="10"/>
    </font>
    <font>
      <name val="맑은 고딕"/>
      <charset val="129"/>
      <family val="3"/>
      <b val="1"/>
      <color rgb="FF3F3F3F"/>
      <sz val="11"/>
      <scheme val="minor"/>
    </font>
    <font>
      <name val="나눔고딕"/>
      <charset val="129"/>
      <family val="2"/>
      <color theme="1"/>
      <sz val="11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8"/>
    </font>
    <font>
      <name val="Arial Narrow"/>
      <family val="2"/>
      <sz val="9"/>
    </font>
    <font>
      <name val="Arial"/>
      <family val="2"/>
      <color rgb="FF000000"/>
      <sz val="8"/>
    </font>
  </fonts>
  <fills count="1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0EBDC"/>
        <bgColor rgb="FFF0EBDC"/>
      </patternFill>
    </fill>
    <fill>
      <patternFill patternType="solid">
        <fgColor rgb="FFFD411B"/>
        <bgColor rgb="FF990000"/>
      </patternFill>
    </fill>
    <fill>
      <patternFill patternType="solid">
        <fgColor rgb="FF990000"/>
        <bgColor rgb="FF99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F2F2F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/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/>
      <right style="medium">
        <color indexed="64"/>
      </right>
      <top style="thin">
        <color rgb="FFAEAAAA"/>
      </top>
      <bottom/>
      <diagonal/>
    </border>
    <border>
      <left style="thin">
        <color rgb="FFAEAAAA"/>
      </left>
      <right/>
      <top/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AEAAAA"/>
      </left>
      <right/>
      <top style="thin">
        <color rgb="FFAEAAAA"/>
      </top>
      <bottom style="medium">
        <color indexed="64"/>
      </bottom>
      <diagonal/>
    </border>
    <border>
      <left/>
      <right style="thin">
        <color rgb="FFAEAAAA"/>
      </right>
      <top style="thin">
        <color rgb="FFAEAAAA"/>
      </top>
      <bottom style="medium">
        <color indexed="64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/>
      <top style="thin">
        <color rgb="FFAEAAAA"/>
      </top>
      <bottom/>
      <diagonal/>
    </border>
    <border>
      <left style="thin">
        <color rgb="FFAEAAAA"/>
      </left>
      <right/>
      <top/>
      <bottom/>
      <diagonal/>
    </border>
    <border>
      <left/>
      <right/>
      <top style="double">
        <color rgb="FFAEAAAA"/>
      </top>
      <bottom/>
      <diagonal/>
    </border>
    <border>
      <left/>
      <right style="thin">
        <color rgb="FFAEAAAA"/>
      </right>
      <top style="double">
        <color rgb="FFAEAAAA"/>
      </top>
      <bottom/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/>
      <right style="thin">
        <color rgb="FFAEAAAA"/>
      </right>
      <top style="thin">
        <color rgb="FFAEAAAA"/>
      </top>
      <bottom/>
      <diagonal/>
    </border>
    <border>
      <left/>
      <right style="thin">
        <color rgb="FFAEAAAA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AEAAAA"/>
      </bottom>
      <diagonal/>
    </border>
    <border>
      <left/>
      <right style="thin">
        <color rgb="FFAEAAAA"/>
      </right>
      <top style="medium">
        <color indexed="64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double">
        <color rgb="FFAEAAAA"/>
      </bottom>
      <diagonal/>
    </border>
  </borders>
  <cellStyleXfs count="18">
    <xf numFmtId="0" fontId="16" fillId="0" borderId="0" applyAlignment="1">
      <alignment vertical="center"/>
    </xf>
    <xf numFmtId="0" fontId="1" fillId="0" borderId="0"/>
    <xf numFmtId="0" fontId="10" fillId="0" borderId="0"/>
    <xf numFmtId="41" fontId="15" fillId="0" borderId="0" applyAlignment="1">
      <alignment vertical="center"/>
    </xf>
    <xf numFmtId="0" fontId="15" fillId="0" borderId="0" applyAlignment="1">
      <alignment vertical="center"/>
    </xf>
    <xf numFmtId="41" fontId="16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41" fontId="15" fillId="0" borderId="0" applyAlignment="1">
      <alignment vertical="center"/>
    </xf>
    <xf numFmtId="41" fontId="17" fillId="0" borderId="0" applyAlignment="1">
      <alignment vertical="center"/>
    </xf>
    <xf numFmtId="41" fontId="18" fillId="0" borderId="0" applyAlignment="1">
      <alignment vertical="center"/>
    </xf>
    <xf numFmtId="41" fontId="15" fillId="0" borderId="0" applyAlignment="1">
      <alignment vertical="center"/>
    </xf>
    <xf numFmtId="41" fontId="19" fillId="0" borderId="0" applyAlignment="1">
      <alignment vertical="center"/>
    </xf>
    <xf numFmtId="42" fontId="15" fillId="0" borderId="0" applyAlignment="1">
      <alignment vertical="center"/>
    </xf>
    <xf numFmtId="0" fontId="20" fillId="11" borderId="34" applyAlignment="1">
      <alignment vertical="center"/>
    </xf>
    <xf numFmtId="41" fontId="16" fillId="0" borderId="0" applyAlignment="1">
      <alignment vertical="center"/>
    </xf>
    <xf numFmtId="0" fontId="21" fillId="0" borderId="0" applyAlignment="1">
      <alignment vertical="center"/>
    </xf>
    <xf numFmtId="0" fontId="15" fillId="0" borderId="0" applyAlignment="1">
      <alignment vertical="center"/>
    </xf>
  </cellStyleXfs>
  <cellXfs count="118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4" pivotButton="0" quotePrefix="0" xfId="1"/>
    <xf numFmtId="0" fontId="4" fillId="0" borderId="7" applyAlignment="1" pivotButton="0" quotePrefix="0" xfId="1">
      <alignment horizontal="center" vertical="center" wrapText="1"/>
    </xf>
    <xf numFmtId="0" fontId="4" fillId="0" borderId="8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right"/>
    </xf>
    <xf numFmtId="0" fontId="8" fillId="0" borderId="5" pivotButton="0" quotePrefix="0" xfId="1"/>
    <xf numFmtId="0" fontId="3" fillId="0" borderId="0" applyAlignment="1" pivotButton="0" quotePrefix="0" xfId="1">
      <alignment horizontal="right" vertical="center" indent="1"/>
    </xf>
    <xf numFmtId="0" fontId="9" fillId="0" borderId="0" applyAlignment="1" pivotButton="0" quotePrefix="0" xfId="1">
      <alignment vertical="center" wrapText="1"/>
    </xf>
    <xf numFmtId="0" fontId="9" fillId="0" borderId="5" applyAlignment="1" pivotButton="0" quotePrefix="0" xfId="1">
      <alignment vertical="center" wrapText="1"/>
    </xf>
    <xf numFmtId="0" fontId="12" fillId="0" borderId="0" pivotButton="0" quotePrefix="0" xfId="1"/>
    <xf numFmtId="0" fontId="6" fillId="5" borderId="14" applyAlignment="1" pivotButton="0" quotePrefix="0" xfId="1">
      <alignment horizontal="left" vertical="center" indent="1"/>
    </xf>
    <xf numFmtId="0" fontId="3" fillId="3" borderId="16" applyAlignment="1" pivotButton="0" quotePrefix="0" xfId="1">
      <alignment horizontal="center" vertical="center"/>
    </xf>
    <xf numFmtId="0" fontId="4" fillId="0" borderId="21" applyAlignment="1" pivotButton="0" quotePrefix="0" xfId="1">
      <alignment horizontal="center" vertical="center" wrapText="1"/>
    </xf>
    <xf numFmtId="0" fontId="4" fillId="0" borderId="22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1" fillId="0" borderId="5" pivotButton="0" quotePrefix="0" xfId="1"/>
    <xf numFmtId="0" fontId="3" fillId="4" borderId="7" applyAlignment="1" pivotButton="0" quotePrefix="0" xfId="1">
      <alignment horizontal="left" vertical="center"/>
    </xf>
    <xf numFmtId="0" fontId="3" fillId="4" borderId="20" applyAlignment="1" pivotButton="0" quotePrefix="0" xfId="1">
      <alignment horizontal="left" vertical="center"/>
    </xf>
    <xf numFmtId="0" fontId="4" fillId="7" borderId="22" applyAlignment="1" pivotButton="0" quotePrefix="0" xfId="1">
      <alignment horizontal="center" vertical="center" wrapText="1"/>
    </xf>
    <xf numFmtId="164" fontId="1" fillId="0" borderId="0" pivotButton="0" quotePrefix="0" xfId="1"/>
    <xf numFmtId="0" fontId="1" fillId="8" borderId="25" applyAlignment="1" pivotButton="0" quotePrefix="0" xfId="1">
      <alignment horizontal="center" vertical="center"/>
    </xf>
    <xf numFmtId="0" fontId="3" fillId="3" borderId="18" applyAlignment="1" pivotButton="0" quotePrefix="0" xfId="1">
      <alignment horizontal="center" vertical="center"/>
    </xf>
    <xf numFmtId="165" fontId="4" fillId="2" borderId="7" applyAlignment="1" pivotButton="0" quotePrefix="0" xfId="1">
      <alignment vertical="center" wrapText="1"/>
    </xf>
    <xf numFmtId="165" fontId="4" fillId="2" borderId="6" applyAlignment="1" pivotButton="0" quotePrefix="0" xfId="1">
      <alignment vertical="center" wrapText="1"/>
    </xf>
    <xf numFmtId="165" fontId="4" fillId="2" borderId="20" applyAlignment="1" pivotButton="0" quotePrefix="0" xfId="1">
      <alignment vertical="center" wrapText="1"/>
    </xf>
    <xf numFmtId="165" fontId="4" fillId="2" borderId="32" applyAlignment="1" pivotButton="0" quotePrefix="0" xfId="1">
      <alignment vertical="center" wrapText="1"/>
    </xf>
    <xf numFmtId="0" fontId="1" fillId="0" borderId="13" pivotButton="0" quotePrefix="0" xfId="1"/>
    <xf numFmtId="0" fontId="3" fillId="3" borderId="33" applyAlignment="1" pivotButton="0" quotePrefix="0" xfId="1">
      <alignment horizontal="center" vertical="center"/>
    </xf>
    <xf numFmtId="0" fontId="4" fillId="12" borderId="7" applyAlignment="1" pivotButton="0" quotePrefix="0" xfId="1">
      <alignment horizontal="center" vertical="center" wrapText="1"/>
    </xf>
    <xf numFmtId="0" fontId="4" fillId="12" borderId="0" applyAlignment="1" pivotButton="0" quotePrefix="0" xfId="1">
      <alignment horizontal="center" vertical="center" wrapText="1"/>
    </xf>
    <xf numFmtId="0" fontId="4" fillId="0" borderId="7" applyAlignment="1" pivotButton="0" quotePrefix="0" xfId="1">
      <alignment horizontal="right" vertical="center" wrapText="1"/>
    </xf>
    <xf numFmtId="14" fontId="4" fillId="9" borderId="28" applyAlignment="1" pivotButton="0" quotePrefix="0" xfId="1">
      <alignment horizontal="right" vertical="center" wrapText="1"/>
    </xf>
    <xf numFmtId="0" fontId="4" fillId="7" borderId="7" applyAlignment="1" pivotButton="0" quotePrefix="0" xfId="1">
      <alignment horizontal="center" vertical="center" wrapText="1"/>
    </xf>
    <xf numFmtId="166" fontId="24" fillId="0" borderId="0" applyAlignment="1" pivotButton="0" quotePrefix="0" xfId="4">
      <alignment vertical="center"/>
    </xf>
    <xf numFmtId="0" fontId="25" fillId="0" borderId="0" applyAlignment="1" pivotButton="0" quotePrefix="0" xfId="1">
      <alignment vertical="center"/>
    </xf>
    <xf numFmtId="0" fontId="1" fillId="6" borderId="14" pivotButton="0" quotePrefix="0" xfId="1"/>
    <xf numFmtId="165" fontId="4" fillId="14" borderId="6" applyAlignment="1" pivotButton="0" quotePrefix="0" xfId="1">
      <alignment vertical="center" wrapText="1"/>
    </xf>
    <xf numFmtId="0" fontId="4" fillId="15" borderId="7" applyAlignment="1" pivotButton="0" quotePrefix="0" xfId="1">
      <alignment horizontal="center" vertical="center" wrapText="1"/>
    </xf>
    <xf numFmtId="0" fontId="0" fillId="15" borderId="7" applyAlignment="1" pivotButton="0" quotePrefix="0" xfId="0">
      <alignment horizontal="center" vertical="center"/>
    </xf>
    <xf numFmtId="165" fontId="4" fillId="14" borderId="7" applyAlignment="1" pivotButton="0" quotePrefix="0" xfId="1">
      <alignment vertical="center" wrapText="1"/>
    </xf>
    <xf numFmtId="0" fontId="22" fillId="0" borderId="35" applyAlignment="1" pivotButton="0" quotePrefix="0" xfId="1">
      <alignment horizontal="left" vertical="center"/>
    </xf>
    <xf numFmtId="0" fontId="22" fillId="0" borderId="36" applyAlignment="1" pivotButton="0" quotePrefix="0" xfId="1">
      <alignment horizontal="left" vertical="center"/>
    </xf>
    <xf numFmtId="0" fontId="3" fillId="4" borderId="8" applyAlignment="1" pivotButton="0" quotePrefix="0" xfId="1">
      <alignment horizontal="left" vertical="center"/>
    </xf>
    <xf numFmtId="0" fontId="3" fillId="4" borderId="7" applyAlignment="1" pivotButton="0" quotePrefix="0" xfId="1">
      <alignment horizontal="left" vertical="center"/>
    </xf>
    <xf numFmtId="0" fontId="1" fillId="6" borderId="15" pivotButton="0" quotePrefix="0" xfId="1"/>
    <xf numFmtId="0" fontId="1" fillId="6" borderId="14" pivotButton="0" quotePrefix="0" xfId="1"/>
    <xf numFmtId="0" fontId="13" fillId="5" borderId="14" applyAlignment="1" pivotButton="0" quotePrefix="0" xfId="1">
      <alignment horizontal="center" vertical="center"/>
    </xf>
    <xf numFmtId="0" fontId="13" fillId="5" borderId="13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top" wrapText="1"/>
    </xf>
    <xf numFmtId="0" fontId="11" fillId="0" borderId="0" applyAlignment="1" pivotButton="0" quotePrefix="0" xfId="1">
      <alignment horizontal="center" vertical="top" wrapText="1"/>
    </xf>
    <xf numFmtId="14" fontId="4" fillId="7" borderId="12" applyAlignment="1" pivotButton="0" quotePrefix="0" xfId="1">
      <alignment horizontal="center" vertical="center" wrapText="1"/>
    </xf>
    <xf numFmtId="14" fontId="4" fillId="7" borderId="11" applyAlignment="1" pivotButton="0" quotePrefix="0" xfId="1">
      <alignment horizontal="center" vertical="center" wrapText="1"/>
    </xf>
    <xf numFmtId="49" fontId="1" fillId="15" borderId="10" applyAlignment="1" pivotButton="0" quotePrefix="0" xfId="1">
      <alignment horizontal="center" vertical="center"/>
    </xf>
    <xf numFmtId="49" fontId="1" fillId="15" borderId="9" applyAlignment="1" pivotButton="0" quotePrefix="0" xfId="1">
      <alignment horizontal="center" vertical="center"/>
    </xf>
    <xf numFmtId="0" fontId="1" fillId="0" borderId="5" pivotButton="0" quotePrefix="0" xfId="1"/>
    <xf numFmtId="0" fontId="1" fillId="0" borderId="0" pivotButton="0" quotePrefix="0" xfId="1"/>
    <xf numFmtId="0" fontId="4" fillId="15" borderId="10" applyAlignment="1" pivotButton="0" quotePrefix="0" xfId="1">
      <alignment horizontal="center" vertical="center" wrapText="1"/>
    </xf>
    <xf numFmtId="0" fontId="4" fillId="15" borderId="9" applyAlignment="1" pivotButton="0" quotePrefix="0" xfId="1">
      <alignment horizontal="center" vertical="center" wrapText="1"/>
    </xf>
    <xf numFmtId="0" fontId="9" fillId="7" borderId="10" applyAlignment="1" pivotButton="0" quotePrefix="0" xfId="1">
      <alignment horizontal="center" vertical="center" wrapText="1"/>
    </xf>
    <xf numFmtId="0" fontId="9" fillId="7" borderId="9" applyAlignment="1" pivotButton="0" quotePrefix="0" xfId="1">
      <alignment horizontal="center" vertical="center" wrapText="1"/>
    </xf>
    <xf numFmtId="49" fontId="4" fillId="7" borderId="10" applyAlignment="1" pivotButton="0" quotePrefix="0" xfId="1">
      <alignment horizontal="center" vertical="center" wrapText="1"/>
    </xf>
    <xf numFmtId="49" fontId="4" fillId="7" borderId="9" applyAlignment="1" pivotButton="0" quotePrefix="0" xfId="1">
      <alignment horizontal="center" vertical="center" wrapText="1"/>
    </xf>
    <xf numFmtId="0" fontId="22" fillId="0" borderId="23" applyAlignment="1" pivotButton="0" quotePrefix="0" xfId="1">
      <alignment horizontal="left" vertical="center"/>
    </xf>
    <xf numFmtId="0" fontId="22" fillId="0" borderId="37" applyAlignment="1" pivotButton="0" quotePrefix="0" xfId="1">
      <alignment horizontal="left" vertical="center"/>
    </xf>
    <xf numFmtId="167" fontId="14" fillId="8" borderId="26" applyAlignment="1" pivotButton="0" quotePrefix="0" xfId="1">
      <alignment horizontal="right" vertical="center"/>
    </xf>
    <xf numFmtId="167" fontId="14" fillId="8" borderId="27" applyAlignment="1" pivotButton="0" quotePrefix="0" xfId="1">
      <alignment horizontal="right" vertical="center"/>
    </xf>
    <xf numFmtId="0" fontId="23" fillId="0" borderId="29" applyAlignment="1" pivotButton="0" quotePrefix="0" xfId="1">
      <alignment horizontal="center" vertical="center" shrinkToFit="1"/>
    </xf>
    <xf numFmtId="0" fontId="23" fillId="0" borderId="30" applyAlignment="1" pivotButton="0" quotePrefix="0" xfId="1">
      <alignment horizontal="center" vertical="center" shrinkToFit="1"/>
    </xf>
    <xf numFmtId="0" fontId="23" fillId="0" borderId="31" applyAlignment="1" pivotButton="0" quotePrefix="0" xfId="1">
      <alignment horizontal="center" vertical="center" shrinkToFit="1"/>
    </xf>
    <xf numFmtId="0" fontId="23" fillId="0" borderId="1" applyAlignment="1" pivotButton="0" quotePrefix="0" xfId="1">
      <alignment horizontal="center" vertical="center" shrinkToFit="1"/>
    </xf>
    <xf numFmtId="167" fontId="4" fillId="10" borderId="23" applyAlignment="1" pivotButton="0" quotePrefix="0" xfId="1">
      <alignment horizontal="right" vertical="center"/>
    </xf>
    <xf numFmtId="167" fontId="4" fillId="10" borderId="24" applyAlignment="1" pivotButton="0" quotePrefix="0" xfId="1">
      <alignment horizontal="right" vertical="center"/>
    </xf>
    <xf numFmtId="49" fontId="4" fillId="8" borderId="10" applyAlignment="1" pivotButton="0" quotePrefix="0" xfId="1">
      <alignment horizontal="center" vertical="center" wrapText="1"/>
    </xf>
    <xf numFmtId="49" fontId="4" fillId="8" borderId="9" applyAlignment="1" pivotButton="0" quotePrefix="0" xfId="1">
      <alignment horizontal="center" vertical="center" wrapText="1"/>
    </xf>
    <xf numFmtId="167" fontId="4" fillId="13" borderId="7" applyAlignment="1" pivotButton="0" quotePrefix="0" xfId="1">
      <alignment horizontal="right" vertical="center"/>
    </xf>
    <xf numFmtId="167" fontId="4" fillId="13" borderId="6" applyAlignment="1" pivotButton="0" quotePrefix="0" xfId="1">
      <alignment horizontal="right" vertical="center"/>
    </xf>
    <xf numFmtId="0" fontId="5" fillId="3" borderId="16" applyAlignment="1" pivotButton="0" quotePrefix="0" xfId="1">
      <alignment horizontal="center"/>
    </xf>
    <xf numFmtId="0" fontId="5" fillId="3" borderId="17" applyAlignment="1" pivotButton="0" quotePrefix="0" xfId="1">
      <alignment horizontal="center"/>
    </xf>
    <xf numFmtId="0" fontId="5" fillId="3" borderId="18" applyAlignment="1" pivotButton="0" quotePrefix="0" xfId="1">
      <alignment horizontal="center"/>
    </xf>
    <xf numFmtId="0" fontId="22" fillId="0" borderId="7" applyAlignment="1" pivotButton="0" quotePrefix="0" xfId="1">
      <alignment horizontal="left" vertical="center"/>
    </xf>
    <xf numFmtId="0" fontId="22" fillId="0" borderId="6" applyAlignment="1" pivotButton="0" quotePrefix="0" xfId="1">
      <alignment horizontal="left" vertical="center"/>
    </xf>
    <xf numFmtId="167" fontId="4" fillId="13" borderId="23" applyAlignment="1" pivotButton="0" quotePrefix="0" xfId="1">
      <alignment horizontal="right" vertical="center"/>
    </xf>
    <xf numFmtId="167" fontId="4" fillId="13" borderId="24" applyAlignment="1" pivotButton="0" quotePrefix="0" xfId="1">
      <alignment horizontal="right" vertical="center"/>
    </xf>
    <xf numFmtId="0" fontId="3" fillId="4" borderId="19" applyAlignment="1" pivotButton="0" quotePrefix="0" xfId="1">
      <alignment horizontal="left" vertical="center"/>
    </xf>
    <xf numFmtId="0" fontId="3" fillId="4" borderId="20" applyAlignment="1" pivotButton="0" quotePrefix="0" xfId="1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47" pivotButton="0" quotePrefix="0" xfId="0"/>
    <xf numFmtId="0" fontId="0" fillId="0" borderId="42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37" pivotButton="0" quotePrefix="0" xfId="0"/>
    <xf numFmtId="0" fontId="23" fillId="0" borderId="32" applyAlignment="1" pivotButton="0" quotePrefix="0" xfId="1">
      <alignment horizontal="center" vertical="center" shrinkToFit="1"/>
    </xf>
    <xf numFmtId="0" fontId="0" fillId="0" borderId="30" pivotButton="0" quotePrefix="0" xfId="0"/>
    <xf numFmtId="0" fontId="0" fillId="0" borderId="36" pivotButton="0" quotePrefix="0" xfId="0"/>
    <xf numFmtId="0" fontId="22" fillId="0" borderId="20" applyAlignment="1" pivotButton="0" quotePrefix="0" xfId="1">
      <alignment horizontal="left" vertical="center"/>
    </xf>
    <xf numFmtId="0" fontId="0" fillId="0" borderId="31" pivotButton="0" quotePrefix="0" xfId="0"/>
    <xf numFmtId="0" fontId="0" fillId="0" borderId="1" pivotButton="0" quotePrefix="0" xfId="0"/>
    <xf numFmtId="164" fontId="1" fillId="0" borderId="0" pivotButton="0" quotePrefix="0" xfId="1"/>
    <xf numFmtId="165" fontId="4" fillId="14" borderId="7" applyAlignment="1" pivotButton="0" quotePrefix="0" xfId="1">
      <alignment vertical="center" wrapText="1"/>
    </xf>
    <xf numFmtId="165" fontId="4" fillId="14" borderId="6" applyAlignment="1" pivotButton="0" quotePrefix="0" xfId="1">
      <alignment vertical="center" wrapText="1"/>
    </xf>
    <xf numFmtId="166" fontId="24" fillId="0" borderId="0" applyAlignment="1" pivotButton="0" quotePrefix="0" xfId="4">
      <alignment vertical="center"/>
    </xf>
    <xf numFmtId="165" fontId="4" fillId="2" borderId="7" applyAlignment="1" pivotButton="0" quotePrefix="0" xfId="1">
      <alignment vertical="center" wrapText="1"/>
    </xf>
    <xf numFmtId="165" fontId="4" fillId="2" borderId="6" applyAlignment="1" pivotButton="0" quotePrefix="0" xfId="1">
      <alignment vertical="center" wrapText="1"/>
    </xf>
    <xf numFmtId="165" fontId="4" fillId="2" borderId="20" applyAlignment="1" pivotButton="0" quotePrefix="0" xfId="1">
      <alignment vertical="center" wrapText="1"/>
    </xf>
    <xf numFmtId="165" fontId="4" fillId="2" borderId="32" applyAlignment="1" pivotButton="0" quotePrefix="0" xfId="1">
      <alignment vertical="center" wrapText="1"/>
    </xf>
    <xf numFmtId="167" fontId="4" fillId="13" borderId="6" applyAlignment="1" pivotButton="0" quotePrefix="0" xfId="1">
      <alignment horizontal="right" vertical="center"/>
    </xf>
    <xf numFmtId="0" fontId="0" fillId="0" borderId="24" pivotButton="0" quotePrefix="0" xfId="0"/>
    <xf numFmtId="167" fontId="4" fillId="13" borderId="7" applyAlignment="1" pivotButton="0" quotePrefix="0" xfId="1">
      <alignment horizontal="right" vertical="center"/>
    </xf>
    <xf numFmtId="167" fontId="4" fillId="10" borderId="6" applyAlignment="1" pivotButton="0" quotePrefix="0" xfId="1">
      <alignment horizontal="right" vertical="center"/>
    </xf>
    <xf numFmtId="167" fontId="14" fillId="8" borderId="27" applyAlignment="1" pivotButton="0" quotePrefix="0" xfId="1">
      <alignment horizontal="right" vertical="center"/>
    </xf>
    <xf numFmtId="0" fontId="0" fillId="0" borderId="27" pivotButton="0" quotePrefix="0" xfId="0"/>
  </cellXfs>
  <cellStyles count="18">
    <cellStyle name="표준" xfId="0" builtinId="0"/>
    <cellStyle name="표준 2" xfId="1"/>
    <cellStyle name="Hyperlink" xfId="2"/>
    <cellStyle name="쉼표 [0] 2 2 3" xfId="3"/>
    <cellStyle name="표준 15" xfId="4"/>
    <cellStyle name="쉼표 [0] 3" xfId="5"/>
    <cellStyle name="쉼표 [0] 2 2 3 3" xfId="6"/>
    <cellStyle name="통화 [0] 2" xfId="7"/>
    <cellStyle name="쉼표 [0] 2 2 3 2" xfId="8"/>
    <cellStyle name="쉼표 [0] 2 2 2 2" xfId="9"/>
    <cellStyle name="쉼표 [0] 3 3" xfId="10"/>
    <cellStyle name="쉼표 [0] 11 2" xfId="11"/>
    <cellStyle name="쉼표 [0] 8 2" xfId="12"/>
    <cellStyle name="통화 [0] 2 2" xfId="13"/>
    <cellStyle name="출력 2" xfId="14"/>
    <cellStyle name="쉼표 [0] 2" xfId="15"/>
    <cellStyle name="표준 3" xfId="16"/>
    <cellStyle name="표준 2 2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0</col>
      <colOff>370418</colOff>
      <row>0</row>
      <rowOff>63500</rowOff>
    </from>
    <ext cx="2340333" cy="523878"/>
    <pic>
      <nvPicPr>
        <cNvPr id="4" name="Picture 2" descr="C:\Users\JC\Desktop\work\브로셔\브로셔 이미지\싼카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70418" y="63500"/>
          <a:ext cx="2340333" cy="52387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  <oneCellAnchor>
    <from>
      <col>0</col>
      <colOff>190500</colOff>
      <row>2</row>
      <rowOff>154519</rowOff>
    </from>
    <ext cx="3343274" cy="563636"/>
    <pic>
      <nvPicPr>
        <cNvPr id="6" name="Picture 3" descr="C:\Users\JC\Desktop\work\브로셔\브로셔 이미지\싼카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90500" y="937686"/>
          <a:ext cx="3343274" cy="5636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  <oneCellAnchor>
    <from>
      <col>1</col>
      <colOff>131233</colOff>
      <row>39</row>
      <rowOff>42334</rowOff>
    </from>
    <ext cx="2535382" cy="1344083"/>
    <pic>
      <nvPicPr>
        <cNvPr id="9" name="Pictur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t="12174" b="7979"/>
        <a:stretch xmlns:a="http://schemas.openxmlformats.org/drawingml/2006/main">
          <a:fillRect/>
        </a:stretch>
      </blipFill>
      <spPr>
        <a:xfrm xmlns:a="http://schemas.openxmlformats.org/drawingml/2006/main">
          <a:off x="713316" y="10149417"/>
          <a:ext cx="2535382" cy="1344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view="pageBreakPreview" zoomScale="80" zoomScaleNormal="90" zoomScaleSheetLayoutView="80" workbookViewId="0">
      <selection activeCell="M17" sqref="M17"/>
    </sheetView>
  </sheetViews>
  <sheetFormatPr baseColWidth="8" defaultRowHeight="12.75"/>
  <cols>
    <col width="8.25" customWidth="1" style="59" min="1" max="1"/>
    <col width="14.875" customWidth="1" style="59" min="2" max="2"/>
    <col width="18.75" customWidth="1" style="59" min="3" max="3"/>
    <col width="7.625" customWidth="1" style="59" min="4" max="4"/>
    <col width="26.75" customWidth="1" style="59" min="5" max="5"/>
    <col width="18.375" customWidth="1" style="59" min="6" max="6"/>
    <col width="16.625" customWidth="1" style="59" min="7" max="7"/>
    <col width="4.375" customWidth="1" style="59" min="8" max="8"/>
    <col width="9" customWidth="1" style="59" min="9" max="16384"/>
  </cols>
  <sheetData>
    <row r="1" ht="50.1" customHeight="1" s="89">
      <c r="A1" s="48" t="n"/>
      <c r="B1" s="90" t="n"/>
      <c r="C1" s="49" t="n"/>
      <c r="D1" s="14" t="n"/>
      <c r="E1" s="51" t="inlineStr">
        <is>
          <t>PROFORM CONTRACT</t>
        </is>
      </c>
      <c r="F1" s="90" t="n"/>
      <c r="G1" s="91" t="n"/>
      <c r="H1" s="13" t="n"/>
    </row>
    <row r="2">
      <c r="A2" s="52" t="inlineStr">
        <is>
          <t>Ssancar LTD. Cho Tae Shin. 499, Aam-dero, Yeonsu-gu, Incheon, Korea  Phone: +82-505-366-9977 Email: ssancar9977@gmail.com</t>
        </is>
      </c>
      <c r="G2" s="5" t="n"/>
    </row>
    <row r="3" ht="24.95" customHeight="1" s="89" thickBot="1">
      <c r="A3" s="92" t="n"/>
      <c r="E3" s="10" t="inlineStr">
        <is>
          <t>Date</t>
        </is>
      </c>
      <c r="F3" s="54">
        <f>TODAY()</f>
        <v/>
      </c>
      <c r="G3" s="93" t="n"/>
    </row>
    <row r="4" ht="24.95" customHeight="1" s="89" thickBot="1" thickTop="1">
      <c r="A4" s="12" t="n"/>
      <c r="B4" s="11" t="n"/>
      <c r="C4" s="11" t="n"/>
      <c r="D4" s="11" t="n"/>
      <c r="E4" s="10" t="inlineStr">
        <is>
          <t>Invoice No.</t>
        </is>
      </c>
      <c r="F4" s="56" t="inlineStr">
        <is>
          <t>TRHU6652495</t>
        </is>
      </c>
      <c r="G4" s="94" t="n"/>
    </row>
    <row r="5" ht="24.95" customHeight="1" s="89" thickBot="1" thickTop="1">
      <c r="A5" s="58" t="n"/>
      <c r="E5" s="10" t="inlineStr">
        <is>
          <t>Name</t>
        </is>
      </c>
      <c r="F5" s="60" t="inlineStr">
        <is>
          <t>IMP. EXP. HANNA LTDA</t>
        </is>
      </c>
      <c r="G5" s="94" t="n"/>
    </row>
    <row r="6" ht="24.95" customHeight="1" s="89" thickBot="1" thickTop="1">
      <c r="A6" s="58" t="n"/>
      <c r="E6" s="10" t="inlineStr">
        <is>
          <t>Adress</t>
        </is>
      </c>
      <c r="F6" s="62" t="n"/>
      <c r="G6" s="94" t="n"/>
    </row>
    <row r="7" ht="24.95" customHeight="1" s="89" thickBot="1" thickTop="1">
      <c r="A7" s="58" t="n"/>
      <c r="E7" s="10" t="inlineStr">
        <is>
          <t>Phone</t>
        </is>
      </c>
      <c r="F7" s="64" t="n"/>
      <c r="G7" s="94" t="n"/>
    </row>
    <row r="8" ht="24.95" customHeight="1" s="89" thickBot="1" thickTop="1">
      <c r="A8" s="58" t="n"/>
      <c r="E8" s="10" t="n"/>
      <c r="F8" s="64" t="n"/>
      <c r="G8" s="94" t="n"/>
    </row>
    <row r="9" ht="20.1" customHeight="1" s="89" thickBot="1" thickTop="1">
      <c r="A9" s="58" t="n"/>
      <c r="D9" s="8" t="n"/>
      <c r="E9" s="10" t="inlineStr">
        <is>
          <t>Dollar Rate</t>
        </is>
      </c>
      <c r="F9" s="76" t="inlineStr">
        <is>
          <t xml:space="preserve"> </t>
        </is>
      </c>
      <c r="G9" s="94" t="n"/>
    </row>
    <row r="10" ht="24.95" customHeight="1" s="89" thickTop="1">
      <c r="A10" s="80" t="inlineStr">
        <is>
          <t>BANK ACCOUNT INFORMATION</t>
        </is>
      </c>
      <c r="B10" s="95" t="n"/>
      <c r="C10" s="95" t="n"/>
      <c r="D10" s="95" t="n"/>
      <c r="E10" s="95" t="n"/>
      <c r="F10" s="95" t="n"/>
      <c r="G10" s="96" t="n"/>
    </row>
    <row r="11" ht="20.1" customHeight="1" s="89">
      <c r="A11" s="46" t="inlineStr">
        <is>
          <t>Beneficiary</t>
        </is>
      </c>
      <c r="B11" s="97" t="n"/>
      <c r="C11" s="83" t="inlineStr">
        <is>
          <t>SSANCAR LTD.</t>
        </is>
      </c>
      <c r="D11" s="97" t="n"/>
      <c r="E11" s="47" t="inlineStr">
        <is>
          <t>Bank Name</t>
        </is>
      </c>
      <c r="F11" s="83" t="inlineStr">
        <is>
          <t>SHINHAN BANK</t>
        </is>
      </c>
      <c r="G11" s="97" t="n"/>
    </row>
    <row r="12" ht="20.1" customHeight="1" s="89">
      <c r="A12" s="46" t="inlineStr">
        <is>
          <t>Swift Cose</t>
        </is>
      </c>
      <c r="B12" s="97" t="n"/>
      <c r="C12" s="83" t="inlineStr">
        <is>
          <t>SHBKKRSE</t>
        </is>
      </c>
      <c r="D12" s="97" t="n"/>
      <c r="E12" s="47" t="inlineStr">
        <is>
          <t>Bank Adress</t>
        </is>
      </c>
      <c r="F12" s="98" t="inlineStr">
        <is>
          <t>20,Sejong-Daero9-Gil,Jung-Gu Seoul South Korea</t>
        </is>
      </c>
      <c r="G12" s="99" t="n"/>
    </row>
    <row r="13" ht="20.1" customHeight="1" s="89" thickBot="1">
      <c r="A13" s="87" t="inlineStr">
        <is>
          <t>Bank Account Number</t>
        </is>
      </c>
      <c r="B13" s="100" t="n"/>
      <c r="C13" s="101" t="inlineStr">
        <is>
          <t>180-008-400167</t>
        </is>
      </c>
      <c r="D13" s="100" t="n"/>
      <c r="E13" s="88" t="inlineStr">
        <is>
          <t>Beneficiary Adress</t>
        </is>
      </c>
      <c r="F13" s="102" t="n"/>
      <c r="G13" s="103" t="n"/>
    </row>
    <row r="14" ht="13.5" customHeight="1" s="89" thickBot="1">
      <c r="A14" s="9" t="n"/>
      <c r="D14" s="8" t="n"/>
      <c r="E14" s="104" t="n"/>
      <c r="G14" s="30" t="n"/>
    </row>
    <row r="15" ht="24.95" customHeight="1" s="89">
      <c r="A15" s="15" t="inlineStr">
        <is>
          <t>Code</t>
        </is>
      </c>
      <c r="B15" s="31" t="inlineStr">
        <is>
          <t>Brand</t>
        </is>
      </c>
      <c r="C15" s="31" t="inlineStr">
        <is>
          <t>Model</t>
        </is>
      </c>
      <c r="D15" s="31" t="inlineStr">
        <is>
          <t>Year</t>
        </is>
      </c>
      <c r="E15" s="31" t="inlineStr">
        <is>
          <t>Chassis No.</t>
        </is>
      </c>
      <c r="F15" s="31" t="inlineStr">
        <is>
          <t>FOB PRICE</t>
        </is>
      </c>
      <c r="G15" s="25" t="inlineStr">
        <is>
          <t>Shipping cost</t>
        </is>
      </c>
    </row>
    <row r="16" ht="20.1" customHeight="1" s="89">
      <c r="A16" s="7">
        <f>RIGHT(E16,6)</f>
        <v/>
      </c>
      <c r="B16" s="41" t="inlineStr">
        <is>
          <t>HYUNDAI</t>
        </is>
      </c>
      <c r="C16" s="41" t="inlineStr">
        <is>
          <t>ACCENT</t>
        </is>
      </c>
      <c r="D16" s="42" t="n">
        <v>2016</v>
      </c>
      <c r="E16" s="42" t="inlineStr">
        <is>
          <t>KMHCT51UGGU281238</t>
        </is>
      </c>
      <c r="F16" s="105" t="n">
        <v>2300</v>
      </c>
      <c r="G16" s="106" t="n">
        <v>1075</v>
      </c>
      <c r="I16" s="107">
        <f>F16+G16</f>
        <v/>
      </c>
    </row>
    <row r="17" ht="20.1" customHeight="1" s="89">
      <c r="A17" s="7">
        <f>RIGHT(E17,6)</f>
        <v/>
      </c>
      <c r="B17" s="41" t="inlineStr">
        <is>
          <t>HYUNDAI</t>
        </is>
      </c>
      <c r="C17" s="41" t="inlineStr">
        <is>
          <t>GRAND STAREX</t>
        </is>
      </c>
      <c r="D17" s="42" t="n">
        <v>2017</v>
      </c>
      <c r="E17" s="42" t="inlineStr">
        <is>
          <t>KMJWA37KBHU886217</t>
        </is>
      </c>
      <c r="F17" s="105" t="n">
        <v>6400</v>
      </c>
      <c r="G17" s="106" t="n">
        <v>1075</v>
      </c>
      <c r="I17" s="107">
        <f>F17+G17</f>
        <v/>
      </c>
    </row>
    <row r="18" ht="20.1" customHeight="1" s="89">
      <c r="A18" s="7">
        <f>RIGHT(E18,6)</f>
        <v/>
      </c>
      <c r="B18" s="41" t="inlineStr">
        <is>
          <t>HYUNDAI</t>
        </is>
      </c>
      <c r="C18" s="41" t="inlineStr">
        <is>
          <t>GRAND STAREX</t>
        </is>
      </c>
      <c r="D18" s="42" t="n">
        <v>2015</v>
      </c>
      <c r="E18" s="42" t="inlineStr">
        <is>
          <t>KMJWA37KAFU680072</t>
        </is>
      </c>
      <c r="F18" s="105" t="n">
        <v>5100</v>
      </c>
      <c r="G18" s="106" t="n">
        <v>1075</v>
      </c>
      <c r="I18" s="107">
        <f>F18+G18</f>
        <v/>
      </c>
    </row>
    <row r="19" ht="20.1" customHeight="1" s="89">
      <c r="A19" s="7">
        <f>RIGHT(E19,6)</f>
        <v/>
      </c>
      <c r="B19" s="41" t="inlineStr">
        <is>
          <t>HYUNDAI</t>
        </is>
      </c>
      <c r="C19" s="41" t="inlineStr">
        <is>
          <t>ACCENT</t>
        </is>
      </c>
      <c r="D19" s="42" t="n">
        <v>2014</v>
      </c>
      <c r="E19" s="42" t="inlineStr">
        <is>
          <t>KMHCS41UBEU687864</t>
        </is>
      </c>
      <c r="F19" s="105" t="n">
        <v>1600</v>
      </c>
      <c r="G19" s="106" t="n">
        <v>1075</v>
      </c>
      <c r="I19" s="107">
        <f>F19+G19</f>
        <v/>
      </c>
    </row>
    <row r="20" ht="20.1" customHeight="1" s="89">
      <c r="A20" s="7">
        <f>RIGHT(E20,6)</f>
        <v/>
      </c>
      <c r="B20" s="6" t="n"/>
      <c r="C20" s="6" t="n"/>
      <c r="D20" s="6" t="n"/>
      <c r="E20" s="6" t="n"/>
      <c r="F20" s="108" t="n"/>
      <c r="G20" s="109" t="n"/>
      <c r="I20" s="107">
        <f>F20+G20</f>
        <v/>
      </c>
    </row>
    <row r="21" ht="20.1" customHeight="1" s="89">
      <c r="A21" s="7">
        <f>RIGHT(E21,6)</f>
        <v/>
      </c>
      <c r="B21" s="6" t="n"/>
      <c r="C21" s="6" t="n"/>
      <c r="D21" s="6" t="n"/>
      <c r="E21" s="6" t="n"/>
      <c r="F21" s="108" t="n"/>
      <c r="G21" s="109" t="n"/>
      <c r="I21" s="107">
        <f>F21+G21</f>
        <v/>
      </c>
    </row>
    <row r="22" ht="20.1" customHeight="1" s="89">
      <c r="A22" s="7">
        <f>RIGHT(E22,6)</f>
        <v/>
      </c>
      <c r="B22" s="6" t="n"/>
      <c r="C22" s="6" t="n"/>
      <c r="D22" s="6" t="n"/>
      <c r="E22" s="6" t="n"/>
      <c r="F22" s="108" t="n"/>
      <c r="G22" s="109" t="n"/>
      <c r="I22" s="107">
        <f>F22+G22</f>
        <v/>
      </c>
    </row>
    <row r="23" ht="20.1" customHeight="1" s="89">
      <c r="A23" s="7">
        <f>RIGHT(E23,6)</f>
        <v/>
      </c>
      <c r="B23" s="6" t="n"/>
      <c r="C23" s="6" t="n"/>
      <c r="D23" s="6" t="n"/>
      <c r="E23" s="6" t="n"/>
      <c r="F23" s="108" t="n"/>
      <c r="G23" s="109" t="n"/>
      <c r="I23" s="107">
        <f>F23+G23</f>
        <v/>
      </c>
    </row>
    <row r="24" ht="20.1" customHeight="1" s="89">
      <c r="A24" s="7">
        <f>RIGHT(E24,6)</f>
        <v/>
      </c>
      <c r="B24" s="6" t="n"/>
      <c r="C24" s="6" t="n"/>
      <c r="D24" s="6" t="n"/>
      <c r="E24" s="6" t="inlineStr">
        <is>
          <t xml:space="preserve"> </t>
        </is>
      </c>
      <c r="F24" s="108" t="n"/>
      <c r="G24" s="109" t="n"/>
      <c r="I24" s="107">
        <f>F24+G24</f>
        <v/>
      </c>
    </row>
    <row r="25" ht="20.1" customHeight="1" s="89">
      <c r="A25" s="7">
        <f>RIGHT(E25,6)</f>
        <v/>
      </c>
      <c r="B25" s="6" t="n"/>
      <c r="C25" s="6" t="n"/>
      <c r="D25" s="6" t="n"/>
      <c r="E25" s="6" t="n"/>
      <c r="F25" s="108" t="n"/>
      <c r="G25" s="109" t="n"/>
      <c r="I25" s="107">
        <f>F25+G25</f>
        <v/>
      </c>
    </row>
    <row r="26" ht="20.1" customHeight="1" s="89" thickBot="1">
      <c r="A26" s="7">
        <f>RIGHT(E26,6)</f>
        <v/>
      </c>
      <c r="B26" s="18" t="n"/>
      <c r="C26" s="18" t="n"/>
      <c r="D26" s="18" t="n"/>
      <c r="E26" s="18" t="n"/>
      <c r="F26" s="110" t="n"/>
      <c r="G26" s="111" t="n"/>
      <c r="I26" s="107">
        <f>F26+G26</f>
        <v/>
      </c>
    </row>
    <row r="27" ht="24.95" customHeight="1" s="89">
      <c r="A27" s="16" t="n"/>
      <c r="B27" s="17" t="n"/>
      <c r="C27" s="17" t="n"/>
      <c r="D27" s="17" t="n"/>
      <c r="E27" s="22" t="inlineStr">
        <is>
          <t>SUB TOTAL</t>
        </is>
      </c>
      <c r="F27" s="112">
        <f>SUM(F16:G26)</f>
        <v/>
      </c>
      <c r="G27" s="113" t="n"/>
      <c r="I27" s="107">
        <f>SUM(F16:F26)</f>
        <v/>
      </c>
      <c r="J27" s="38" t="inlineStr">
        <is>
          <t>FOB PRICE</t>
        </is>
      </c>
    </row>
    <row r="28" ht="15.95" customHeight="1" s="89">
      <c r="A28" s="7" t="n"/>
      <c r="B28" s="6" t="n"/>
      <c r="C28" s="6" t="n"/>
      <c r="D28" s="6" t="n"/>
      <c r="E28" s="32" t="inlineStr">
        <is>
          <t xml:space="preserve"> </t>
        </is>
      </c>
      <c r="F28" s="112" t="inlineStr">
        <is>
          <t xml:space="preserve"> </t>
        </is>
      </c>
      <c r="G28" s="113" t="n"/>
      <c r="I28" s="107">
        <f>SUM(G16:G26)</f>
        <v/>
      </c>
      <c r="J28" s="38" t="inlineStr">
        <is>
          <t>Shipping cost</t>
        </is>
      </c>
    </row>
    <row r="29" ht="15.95" customHeight="1" s="89">
      <c r="A29" s="7" t="n"/>
      <c r="B29" s="6" t="n"/>
      <c r="C29" s="6" t="n"/>
      <c r="D29" s="6" t="n"/>
      <c r="E29" s="32" t="n"/>
      <c r="F29" s="112" t="inlineStr">
        <is>
          <t xml:space="preserve"> </t>
        </is>
      </c>
      <c r="G29" s="113" t="n"/>
    </row>
    <row r="30" ht="15.95" customHeight="1" s="89">
      <c r="A30" s="7" t="n"/>
      <c r="B30" s="6" t="n"/>
      <c r="C30" s="6" t="n"/>
      <c r="D30" s="6" t="n"/>
      <c r="E30" s="32" t="n"/>
      <c r="F30" s="114" t="n"/>
      <c r="G30" s="97" t="n"/>
    </row>
    <row r="31" ht="15.95" customHeight="1" s="89">
      <c r="A31" s="7" t="n"/>
      <c r="B31" s="6" t="n"/>
      <c r="C31" s="6" t="n"/>
      <c r="D31" s="6" t="n"/>
      <c r="E31" s="32" t="n"/>
      <c r="F31" s="114" t="n"/>
      <c r="G31" s="97" t="n"/>
    </row>
    <row r="32" ht="15.95" customHeight="1" s="89">
      <c r="A32" s="7" t="n"/>
      <c r="B32" s="6" t="n"/>
      <c r="C32" s="6" t="n"/>
      <c r="D32" s="6" t="n"/>
      <c r="E32" s="33" t="n"/>
      <c r="F32" s="114" t="n"/>
      <c r="G32" s="97" t="n"/>
    </row>
    <row r="33" ht="24.95" customHeight="1" s="89">
      <c r="A33" s="7" t="n"/>
      <c r="B33" s="6" t="n"/>
      <c r="C33" s="6" t="n"/>
      <c r="D33" s="6" t="n"/>
      <c r="E33" s="36" t="inlineStr">
        <is>
          <t>TOTAL</t>
        </is>
      </c>
      <c r="F33" s="112">
        <f>SUM(F27:G32)</f>
        <v/>
      </c>
      <c r="G33" s="113" t="n"/>
    </row>
    <row r="34" ht="15.95" customHeight="1" s="89">
      <c r="A34" s="7" t="n"/>
      <c r="B34" s="6" t="n"/>
      <c r="C34" s="6" t="n"/>
      <c r="D34" s="34" t="inlineStr">
        <is>
          <t xml:space="preserve"> </t>
        </is>
      </c>
      <c r="E34" s="35" t="inlineStr">
        <is>
          <t xml:space="preserve"> </t>
        </is>
      </c>
      <c r="F34" s="115" t="n"/>
      <c r="G34" s="113" t="n"/>
    </row>
    <row r="35" ht="15.95" customHeight="1" s="89">
      <c r="A35" s="7" t="n"/>
      <c r="B35" s="6" t="n"/>
      <c r="C35" s="6" t="n"/>
      <c r="D35" s="34" t="n"/>
      <c r="E35" s="35" t="n"/>
      <c r="F35" s="115" t="n"/>
      <c r="G35" s="113" t="n"/>
    </row>
    <row r="36" ht="15.95" customHeight="1" s="89">
      <c r="A36" s="7" t="n"/>
      <c r="B36" s="6" t="n"/>
      <c r="C36" s="6" t="n"/>
      <c r="D36" s="34" t="n"/>
      <c r="E36" s="35" t="n"/>
      <c r="F36" s="115" t="n"/>
      <c r="G36" s="113" t="n"/>
    </row>
    <row r="37" ht="15.95" customHeight="1" s="89">
      <c r="A37" s="7" t="n"/>
      <c r="B37" s="6" t="n"/>
      <c r="C37" s="6" t="n"/>
      <c r="D37" s="34" t="n"/>
      <c r="E37" s="35" t="n"/>
      <c r="F37" s="115" t="n"/>
      <c r="G37" s="113" t="n"/>
    </row>
    <row r="38" ht="15.95" customHeight="1" s="89" thickBot="1">
      <c r="A38" s="7" t="n"/>
      <c r="B38" s="6" t="n"/>
      <c r="C38" s="6" t="n"/>
      <c r="D38" s="34" t="n"/>
      <c r="E38" s="35" t="n"/>
      <c r="F38" s="115" t="n"/>
      <c r="G38" s="113" t="n"/>
    </row>
    <row r="39" ht="24.95" customHeight="1" s="89" thickBot="1">
      <c r="A39" s="7" t="n"/>
      <c r="B39" s="6" t="n"/>
      <c r="C39" s="6" t="n"/>
      <c r="D39" s="34" t="n"/>
      <c r="E39" s="24" t="inlineStr">
        <is>
          <t>BALANCE MONEY</t>
        </is>
      </c>
      <c r="F39" s="116">
        <f>SUM(F33-F34-F35-F36-F37-F38)</f>
        <v/>
      </c>
      <c r="G39" s="117" t="n"/>
    </row>
    <row r="40" ht="20.1" customHeight="1" s="89">
      <c r="A40" s="58" t="n"/>
      <c r="F40" s="59" t="inlineStr">
        <is>
          <t>.</t>
        </is>
      </c>
      <c r="G40" s="5" t="n"/>
    </row>
    <row r="41" ht="20.1" customHeight="1" s="89">
      <c r="A41" s="58" t="n"/>
      <c r="G41" s="5" t="n"/>
    </row>
    <row r="42" ht="20.1" customHeight="1" s="89">
      <c r="A42" s="58" t="n"/>
      <c r="G42" s="5" t="n"/>
    </row>
    <row r="43" ht="20.1" customHeight="1" s="89">
      <c r="A43" s="58" t="n"/>
      <c r="G43" s="5" t="n"/>
    </row>
    <row r="44" ht="20.1" customHeight="1" s="89">
      <c r="A44" s="58" t="n"/>
      <c r="G44" s="5" t="n"/>
    </row>
    <row r="45" ht="20.1" customHeight="1" s="89" thickBot="1">
      <c r="A45" s="4" t="n"/>
      <c r="B45" s="3" t="n"/>
      <c r="C45" s="3" t="n"/>
      <c r="D45" s="3" t="n"/>
      <c r="E45" s="3" t="n"/>
      <c r="F45" s="3" t="n"/>
      <c r="G45" s="2" t="n"/>
    </row>
  </sheetData>
  <mergeCells count="37">
    <mergeCell ref="F4:G4"/>
    <mergeCell ref="F11:G11"/>
    <mergeCell ref="F29:G29"/>
    <mergeCell ref="A11:B11"/>
    <mergeCell ref="F34:G34"/>
    <mergeCell ref="F6:G6"/>
    <mergeCell ref="A1:B1"/>
    <mergeCell ref="A6:B6"/>
    <mergeCell ref="A10:G10"/>
    <mergeCell ref="F7:G7"/>
    <mergeCell ref="F3:G3"/>
    <mergeCell ref="F30:G30"/>
    <mergeCell ref="A7:B7"/>
    <mergeCell ref="F5:G5"/>
    <mergeCell ref="F33:G33"/>
    <mergeCell ref="F36:G36"/>
    <mergeCell ref="F32:G32"/>
    <mergeCell ref="A2:D3"/>
    <mergeCell ref="F35:G35"/>
    <mergeCell ref="F8:G8"/>
    <mergeCell ref="A12:B12"/>
    <mergeCell ref="C12:D12"/>
    <mergeCell ref="F38:G38"/>
    <mergeCell ref="C11:D11"/>
    <mergeCell ref="A5:B5"/>
    <mergeCell ref="F31:G31"/>
    <mergeCell ref="F28:G28"/>
    <mergeCell ref="F27:G27"/>
    <mergeCell ref="A8:B8"/>
    <mergeCell ref="F9:G9"/>
    <mergeCell ref="F39:G39"/>
    <mergeCell ref="F37:G37"/>
    <mergeCell ref="F12:G13"/>
    <mergeCell ref="A13:B13"/>
    <mergeCell ref="C13:D13"/>
    <mergeCell ref="A9:B9"/>
    <mergeCell ref="E1:G1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portrait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SSANCAR</dc:creator>
  <dcterms:created xmlns:dcterms="http://purl.org/dc/terms/" xmlns:xsi="http://www.w3.org/2001/XMLSchema-instance" xsi:type="dcterms:W3CDTF">2022-01-24T05:08:09Z</dcterms:created>
  <dcterms:modified xmlns:dcterms="http://purl.org/dc/terms/" xmlns:xsi="http://www.w3.org/2001/XMLSchema-instance" xsi:type="dcterms:W3CDTF">2026-05-24T05:10:10Z</dcterms:modified>
  <cp:lastModifiedBy>choi young suk</cp:lastModifiedBy>
  <cp:lastPrinted>2024-06-12T00:34:45Z</cp:lastPrinted>
</cp:coreProperties>
</file>