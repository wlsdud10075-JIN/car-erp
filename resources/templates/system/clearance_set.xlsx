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Default Extension="png" ContentType="image/png"/>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800" visibility="visible"/>
  </bookViews>
  <sheets>
    <sheet name="구매리스트" sheetId="1" r:id="rId4"/>
    <sheet name="한글등록증" sheetId="2" r:id="rId5"/>
    <sheet name="영문등록증" sheetId="3" r:id="rId6"/>
    <sheet name="말소증" sheetId="4" r:id="rId7"/>
    <sheet name="차량인보이스" sheetId="5" r:id="rId8"/>
    <sheet name="차량팩킹" sheetId="6" r:id="rId9"/>
    <sheet name="Travel Services Invoice" sheetId="7" r:id="rId10"/>
  </sheets>
  <definedNames>
    <definedName name="_xlnm.Print_Area" localSheetId="1">'한글등록증'!$A$1:$Q$47</definedName>
    <definedName name="_xlnm.Print_Area" localSheetId="2">'영문등록증'!$A$1:$Q$47</definedName>
    <definedName name="_xlnm.Print_Area" localSheetId="3">'말소증'!$A$1:$O$62</definedName>
    <definedName name="_xlnm.Print_Area" localSheetId="4">'차량인보이스'!$A$1:$I$40</definedName>
    <definedName name="_xlnm.Print_Area" localSheetId="5">'차량팩킹'!$A$1:$I$40</definedName>
  </definedNames>
  <calcPr calcId="999999" calcMode="auto" calcCompleted="0" fullCalcOnLoad="1" forceFullCalc="1"/>
</workbook>
</file>

<file path=xl/sharedStrings.xml><?xml version="1.0" encoding="utf-8"?>
<sst xmlns="http://schemas.openxmlformats.org/spreadsheetml/2006/main" uniqueCount="380">
  <si>
    <r>
      <t xml:space="preserve">말소증</t>
    </r>
  </si>
  <si>
    <r>
      <t xml:space="preserve">차량등록증</t>
    </r>
  </si>
  <si>
    <r>
      <t xml:space="preserve">ID</t>
    </r>
  </si>
  <si>
    <r>
      <t xml:space="preserve">850942</t>
    </r>
  </si>
  <si>
    <r>
      <t xml:space="preserve">등록번호</t>
    </r>
  </si>
  <si>
    <r>
      <t xml:space="preserve">등록증날짜</t>
    </r>
  </si>
  <si>
    <r>
      <t xml:space="preserve">차량번호</t>
    </r>
  </si>
  <si>
    <r>
      <t xml:space="preserve">19더9065</t>
    </r>
  </si>
  <si>
    <r>
      <t xml:space="preserve">영문차량번호</t>
    </r>
  </si>
  <si>
    <r>
      <t xml:space="preserve">19DEO9065</t>
    </r>
  </si>
  <si>
    <r>
      <t xml:space="preserve">형식</t>
    </r>
  </si>
  <si>
    <r>
      <t xml:space="preserve">JC51</t>
    </r>
  </si>
  <si>
    <r>
      <t xml:space="preserve">원동기</t>
    </r>
  </si>
  <si>
    <r>
      <t xml:space="preserve">B47D20A</t>
    </r>
  </si>
  <si>
    <r>
      <t xml:space="preserve">차명</t>
    </r>
  </si>
  <si>
    <r>
      <t xml:space="preserve">BMW 520d xDrive</t>
    </r>
  </si>
  <si>
    <r>
      <t xml:space="preserve">차대번호</t>
    </r>
  </si>
  <si>
    <r>
      <t xml:space="preserve">WBAJC5105HG850942</t>
    </r>
  </si>
  <si>
    <r>
      <t xml:space="preserve">제원</t>
    </r>
  </si>
  <si>
    <r>
      <t xml:space="preserve">001-2-00057-0002-1217</t>
    </r>
  </si>
  <si>
    <r>
      <t xml:space="preserve">연도</t>
    </r>
  </si>
  <si>
    <r>
      <t xml:space="preserve">2017-02</t>
    </r>
  </si>
  <si>
    <r>
      <t xml:space="preserve">최초등록일</t>
    </r>
  </si>
  <si>
    <r>
      <t xml:space="preserve">차종</t>
    </r>
  </si>
  <si>
    <r>
      <t xml:space="preserve">중형승용</t>
    </r>
  </si>
  <si>
    <r>
      <t xml:space="preserve">말소등록일 </t>
    </r>
  </si>
  <si>
    <r>
      <t xml:space="preserve">주행거리</t>
    </r>
  </si>
  <si>
    <r>
      <t xml:space="preserve">길이</t>
    </r>
  </si>
  <si>
    <r>
      <t xml:space="preserve">너비</t>
    </r>
  </si>
  <si>
    <r>
      <t xml:space="preserve"> </t>
    </r>
  </si>
  <si>
    <r>
      <t xml:space="preserve">높이</t>
    </r>
  </si>
  <si>
    <r>
      <t xml:space="preserve">1455</t>
    </r>
  </si>
  <si>
    <r>
      <t xml:space="preserve">총중량</t>
    </r>
  </si>
  <si>
    <r>
      <t xml:space="preserve">VSL</t>
    </r>
  </si>
  <si>
    <r>
      <t xml:space="preserve"> 인원</t>
    </r>
  </si>
  <si>
    <r>
      <t xml:space="preserve">5</t>
    </r>
  </si>
  <si>
    <t>최대적재량</t>
  </si>
  <si>
    <r>
      <t xml:space="preserve">Port</t>
    </r>
  </si>
  <si>
    <r>
      <t xml:space="preserve">INCHOEN, KOREA</t>
    </r>
  </si>
  <si>
    <r>
      <t xml:space="preserve">목적국</t>
    </r>
  </si>
  <si>
    <r>
      <t xml:space="preserve">DURRESS,  ALBANIA</t>
    </r>
  </si>
  <si>
    <r>
      <t xml:space="preserve">배기량</t>
    </r>
  </si>
  <si>
    <r>
      <t xml:space="preserve">1995</t>
    </r>
  </si>
  <si>
    <r>
      <t xml:space="preserve">검사시작</t>
    </r>
  </si>
  <si>
    <r>
      <t xml:space="preserve"> MV HAE SHIN V.2509</t>
    </r>
  </si>
  <si>
    <r>
      <t xml:space="preserve">선적일</t>
    </r>
  </si>
  <si>
    <r>
      <t xml:space="preserve">출력</t>
    </r>
  </si>
  <si>
    <r>
      <t xml:space="preserve">190/4000</t>
    </r>
  </si>
  <si>
    <r>
      <t xml:space="preserve">종료</t>
    </r>
  </si>
  <si>
    <r>
      <t xml:space="preserve">컨테이너 NO</t>
    </r>
  </si>
  <si>
    <r>
      <t xml:space="preserve">RORO 2-6_3</t>
    </r>
  </si>
  <si>
    <r>
      <t xml:space="preserve">con/roro</t>
    </r>
  </si>
  <si>
    <r>
      <t xml:space="preserve">RORO</t>
    </r>
  </si>
  <si>
    <r>
      <t xml:space="preserve">기통</t>
    </r>
  </si>
  <si>
    <r>
      <t xml:space="preserve">4</t>
    </r>
  </si>
  <si>
    <r>
      <t xml:space="preserve">컨사이니</t>
    </r>
  </si>
  <si>
    <r>
      <t xml:space="preserve">연료</t>
    </r>
  </si>
  <si>
    <r>
      <t xml:space="preserve">경유</t>
    </r>
  </si>
  <si>
    <r>
      <t xml:space="preserve">VIA AUTO
811881897
MAGJISTRALJA FERIZAJ PRISHTINEPN,PRELEZ I JERLIVE, 70000,
FERIZAJ, KOSOVO
EMAIL: INFO@VIA AUTO-KS.COM
+38348507024</t>
    </r>
  </si>
  <si>
    <r>
      <t xml:space="preserve">NAME</t>
    </r>
  </si>
  <si>
    <r>
      <t xml:space="preserve">판매금</t>
    </r>
  </si>
  <si>
    <r>
      <t xml:space="preserve">운임 </t>
    </r>
  </si>
  <si>
    <r>
      <t xml:space="preserve">합계</t>
    </r>
  </si>
  <si>
    <r>
      <t xml:space="preserve">MASAN, KOREA</t>
    </r>
  </si>
  <si>
    <r>
      <t xml:space="preserve">AZERBAIJAN</t>
    </r>
  </si>
  <si>
    <r>
      <t xml:space="preserve">PYEONGTAEK, KOREA</t>
    </r>
  </si>
  <si>
    <r>
      <t xml:space="preserve">FRANCE</t>
    </r>
  </si>
  <si>
    <r>
      <t xml:space="preserve">BUSAN, KOREA</t>
    </r>
  </si>
  <si>
    <r>
      <t xml:space="preserve">CHILE</t>
    </r>
  </si>
  <si>
    <r>
      <t xml:space="preserve">JEBEL ALI, U.A.E(DUBAI)</t>
    </r>
  </si>
  <si>
    <r>
      <t xml:space="preserve">SYRIA</t>
    </r>
  </si>
  <si>
    <r>
      <t xml:space="preserve">GERMANY , HAMBURG</t>
    </r>
  </si>
  <si>
    <r>
      <t xml:space="preserve">SAUDI ARABIA , DAMMAM</t>
    </r>
  </si>
  <si>
    <r>
      <t xml:space="preserve"> Netherlands , Rotterdam</t>
    </r>
  </si>
  <si>
    <r>
      <t xml:space="preserve">SWEDEN  , GOTHENBURG</t>
    </r>
  </si>
  <si>
    <r>
      <t xml:space="preserve">KOPER , MOLDOVA</t>
    </r>
  </si>
  <si>
    <r>
      <t xml:space="preserve">MOLDOVA</t>
    </r>
  </si>
  <si>
    <r>
      <t xml:space="preserve">BURGAS,  BULGARIA</t>
    </r>
  </si>
  <si>
    <r>
      <t xml:space="preserve">NORRKOPING</t>
    </r>
  </si>
  <si>
    <r>
      <t xml:space="preserve">KYRGYZSTAN</t>
    </r>
  </si>
  <si>
    <r>
      <t xml:space="preserve">KAZAKHSTAN</t>
    </r>
  </si>
  <si>
    <r>
      <t xml:space="preserve">VLADIVOSTOK,  RUSSIA</t>
    </r>
  </si>
  <si>
    <r>
      <t xml:space="preserve">■자동차등록규칙 [별지 제1호 서식]  &lt;개정  2017. 10. 26&gt; 수출 통관용</t>
    </r>
  </si>
  <si>
    <r>
      <t xml:space="preserve">(앞  쪽)</t>
    </r>
  </si>
  <si>
    <r>
      <t xml:space="preserve">자  동  차  등  록  증</t>
    </r>
  </si>
  <si>
    <r>
      <t xml:space="preserve">제 </t>
    </r>
  </si>
  <si>
    <r>
      <t xml:space="preserve">호</t>
    </r>
  </si>
  <si>
    <r>
      <t xml:space="preserve">최초등록일 :</t>
    </r>
  </si>
  <si>
    <r>
      <t xml:space="preserve">① 자동차등록번호</t>
    </r>
  </si>
  <si>
    <r>
      <t xml:space="preserve">② 차                 종</t>
    </r>
  </si>
  <si>
    <r>
      <t xml:space="preserve">③용도</t>
    </r>
  </si>
  <si>
    <r>
      <t xml:space="preserve">자가용</t>
    </r>
  </si>
  <si>
    <r>
      <t xml:space="preserve">④ 차               명</t>
    </r>
  </si>
  <si>
    <r>
      <t xml:space="preserve">⑤ 형식 및 모델연도</t>
    </r>
  </si>
  <si>
    <r>
      <t xml:space="preserve">⑥ 차   대   번   호</t>
    </r>
  </si>
  <si>
    <r>
      <t xml:space="preserve">⑦ 원  동  기  형  식</t>
    </r>
  </si>
  <si>
    <r>
      <t xml:space="preserve">⑧ 사 용   본 거 지</t>
    </r>
  </si>
  <si>
    <r>
      <t xml:space="preserve">경기도 시흥시 산기대학로 163, A동 328호(정왕동)</t>
    </r>
  </si>
  <si>
    <r>
      <t xml:space="preserve">소유자</t>
    </r>
  </si>
  <si>
    <r>
      <t xml:space="preserve">⑨성명(명칭)</t>
    </r>
  </si>
  <si>
    <r>
      <t xml:space="preserve">주식회사 싼카 (상품용)</t>
    </r>
  </si>
  <si>
    <r>
      <t xml:space="preserve">      생   년   월   일
     (법 인 등 록 번호)</t>
    </r>
  </si>
  <si>
    <r>
      <t xml:space="preserve">120111-0922270</t>
    </r>
  </si>
  <si>
    <r>
      <t xml:space="preserve">「자동차관리법」제8조에 따라 위와 같이 등록하였음을 증명합니다. </t>
    </r>
  </si>
  <si>
    <r>
      <t xml:space="preserve">※ 유의사항 : 전기자동차 또는 수소전기자동차인 경우 ⑦번란의 '원동기형식'은 '구동전동기형식'을 말합니다. </t>
    </r>
  </si>
  <si>
    <t>대　한　민　국</t>
  </si>
  <si>
    <r>
      <t xml:space="preserve">1.제  원 </t>
    </r>
  </si>
  <si>
    <r>
      <t xml:space="preserve">  4. 검사유효기간</t>
    </r>
  </si>
  <si>
    <r>
      <t xml:space="preserve">⑪</t>
    </r>
  </si>
  <si>
    <r>
      <t xml:space="preserve">제원관리번호</t>
    </r>
  </si>
  <si>
    <r>
      <t xml:space="preserve">연월일</t>
    </r>
  </si>
  <si>
    <r>
      <t xml:space="preserve">  검    사</t>
    </r>
  </si>
  <si>
    <r>
      <t xml:space="preserve">주  행</t>
    </r>
  </si>
  <si>
    <r>
      <t xml:space="preserve">  검사책</t>
    </r>
  </si>
  <si>
    <r>
      <t xml:space="preserve">검  사</t>
    </r>
  </si>
  <si>
    <r>
      <t xml:space="preserve">(형식승인번호) </t>
    </r>
  </si>
  <si>
    <r>
      <t xml:space="preserve">부   터</t>
    </r>
  </si>
  <si>
    <r>
      <t xml:space="preserve">까   지</t>
    </r>
  </si>
  <si>
    <r>
      <t xml:space="preserve">  시행장소</t>
    </r>
  </si>
  <si>
    <r>
      <t xml:space="preserve">거  리</t>
    </r>
  </si>
  <si>
    <r>
      <t xml:space="preserve">임자확인</t>
    </r>
  </si>
  <si>
    <r>
      <t xml:space="preserve">구  분</t>
    </r>
  </si>
  <si>
    <r>
      <t xml:space="preserve">⑫</t>
    </r>
  </si>
  <si>
    <r>
      <t xml:space="preserve">길  이</t>
    </r>
  </si>
  <si>
    <r>
      <t xml:space="preserve">mm</t>
    </r>
  </si>
  <si>
    <r>
      <t xml:space="preserve">⑬</t>
    </r>
  </si>
  <si>
    <r>
      <t xml:space="preserve">너      비</t>
    </r>
  </si>
  <si>
    <r>
      <t xml:space="preserve">⑭</t>
    </r>
  </si>
  <si>
    <r>
      <t xml:space="preserve">높  이</t>
    </r>
  </si>
  <si>
    <r>
      <t xml:space="preserve">⑮</t>
    </r>
  </si>
  <si>
    <r>
      <t xml:space="preserve">총 중 량</t>
    </r>
  </si>
  <si>
    <r>
      <t xml:space="preserve">kg</t>
    </r>
  </si>
  <si>
    <r>
      <t xml:space="preserve">⑯</t>
    </r>
  </si>
  <si>
    <r>
      <t xml:space="preserve">승차정원</t>
    </r>
  </si>
  <si>
    <r>
      <t xml:space="preserve">명</t>
    </r>
  </si>
  <si>
    <r>
      <t xml:space="preserve">⑰</t>
    </r>
  </si>
  <si>
    <r>
      <t xml:space="preserve">최대적재량</t>
    </r>
  </si>
  <si>
    <r>
      <t xml:space="preserve">⑱</t>
    </r>
  </si>
  <si>
    <r>
      <t xml:space="preserve">배기량 또는</t>
    </r>
  </si>
  <si>
    <r>
      <t xml:space="preserve">cc,(Ah ,[Ah]</t>
    </r>
  </si>
  <si>
    <r>
      <t xml:space="preserve">구동축전지 용량</t>
    </r>
  </si>
  <si>
    <r>
      <t xml:space="preserve">⑲</t>
    </r>
  </si>
  <si>
    <r>
      <t xml:space="preserve">정격출력</t>
    </r>
  </si>
  <si>
    <r>
      <t xml:space="preserve">Ps/rpm,(kW/rpm),[kW/rpm]</t>
    </r>
  </si>
  <si>
    <r>
      <t xml:space="preserve">⑳</t>
    </r>
  </si>
  <si>
    <r>
      <t xml:space="preserve">기통수</t>
    </r>
  </si>
  <si>
    <r>
      <t xml:space="preserve">기통,(V),[kW]</t>
    </r>
  </si>
  <si>
    <r>
      <t xml:space="preserve">(구동축전지정격전압)</t>
    </r>
  </si>
  <si>
    <r>
      <t xml:space="preserve">[연료전지 최고출력]</t>
    </r>
  </si>
  <si>
    <r>
      <t xml:space="preserve">㉑ </t>
    </r>
  </si>
  <si>
    <r>
      <t xml:space="preserve">연료의종류 및 연료소비율</t>
    </r>
  </si>
  <si>
    <r>
      <t xml:space="preserve">km/l,(km/kWh),[km/kg]</t>
    </r>
  </si>
  <si>
    <r>
      <t xml:space="preserve">㉒ </t>
    </r>
  </si>
  <si>
    <r>
      <t xml:space="preserve">구동축전지 셀의제조사</t>
    </r>
  </si>
  <si>
    <r>
      <t xml:space="preserve">㉓</t>
    </r>
  </si>
  <si>
    <r>
      <t xml:space="preserve">구동축전지 셀의형태</t>
    </r>
  </si>
  <si>
    <r>
      <t xml:space="preserve">㉔ </t>
    </r>
  </si>
  <si>
    <r>
      <t xml:space="preserve">구동축전지셀의주요원료</t>
    </r>
  </si>
  <si>
    <r>
      <t xml:space="preserve">유의사항 : ⑱~㉑에서 기재 단위는 사용연료의 종류가 전기인 자동차의 경우는 (),수소전기자동차의 경우는[]을 말합니다.「자동차관리법 시행규칙」별표1 제2회의 특수자동차의 경우 최대적재량은 피견인자동차를 연결하기위해 허용되는 최대수직하중을 말하며 견인능력과는무관합니다,㉒~㉔는 구동축전지를 갖춘 자동차(외부 전기공급원을 통해 충전할 수 없는 구조인 자동차는제외)의경우만 해당합니다.</t>
    </r>
  </si>
  <si>
    <r>
      <t xml:space="preserve">2.등록번호판 교부 및 봉인</t>
    </r>
  </si>
  <si>
    <r>
      <t xml:space="preserve">※ 주의사항 :      ㉚ 항 첫째란에는 신규등록일을 적습니다.</t>
    </r>
  </si>
  <si>
    <r>
      <t xml:space="preserve">㉕ 구분</t>
    </r>
  </si>
  <si>
    <r>
      <t xml:space="preserve"> ㉖ 번호판발급일</t>
    </r>
  </si>
  <si>
    <r>
      <t xml:space="preserve">㉗ 발급대행자확인</t>
    </r>
  </si>
  <si>
    <r>
      <t xml:space="preserve">   비고</t>
    </r>
  </si>
  <si>
    <r>
      <t xml:space="preserve">3. 저당권등록사실(저당권등록의 내용은 자동차등록원부(을)를
     열람,확인하시기 바랍니다)</t>
    </r>
  </si>
  <si>
    <r>
      <t xml:space="preserve">㉘ 구분(설정 또는 말소)</t>
    </r>
  </si>
  <si>
    <r>
      <t xml:space="preserve">㉙ 날         짜</t>
    </r>
  </si>
  <si>
    <r>
      <t xml:space="preserve">※ 뒷면의 '유의사항'을 꼭 읽어보시기 바랍니다.</t>
    </r>
  </si>
  <si>
    <r>
      <t xml:space="preserve">210㎜ x 297㎜[백상지 또는 중질지 80g/㎡]</t>
    </r>
  </si>
  <si>
    <r>
      <t xml:space="preserve">■Motor Vehicle Registration Rules [Attachment No. 1 Form] &lt;Revised 2017. 10. 26&gt; For export customs clearance</t>
    </r>
  </si>
  <si>
    <r>
      <t xml:space="preserve">(front page)</t>
    </r>
  </si>
  <si>
    <r>
      <t xml:space="preserve">Certificate of Registration of Automobile</t>
    </r>
  </si>
  <si>
    <r>
      <t xml:space="preserve">No</t>
    </r>
  </si>
  <si>
    <r>
      <t xml:space="preserve">First Registration Date : </t>
    </r>
  </si>
  <si>
    <r>
      <t xml:space="preserve">① Registration No.</t>
    </r>
  </si>
  <si>
    <r>
      <t xml:space="preserve">② car type</t>
    </r>
  </si>
  <si>
    <r>
      <t xml:space="preserve">③Usage</t>
    </r>
  </si>
  <si>
    <r>
      <t xml:space="preserve">Private car</t>
    </r>
  </si>
  <si>
    <r>
      <t xml:space="preserve">④ Car Name</t>
    </r>
  </si>
  <si>
    <r>
      <t xml:space="preserve">⑤ Model &amp;Year</t>
    </r>
  </si>
  <si>
    <r>
      <t xml:space="preserve">⑥ Vehicle ID No.</t>
    </r>
  </si>
  <si>
    <r>
      <t xml:space="preserve">⑦ Motor Type</t>
    </r>
  </si>
  <si>
    <r>
      <t xml:space="preserve">⑧ Usage Basc</t>
    </r>
  </si>
  <si>
    <r>
      <t xml:space="preserve">163 Sangidaehak-ro, Siheung-si, Gyeonggi-do, Korea </t>
    </r>
  </si>
  <si>
    <r>
      <t xml:space="preserve">Owner</t>
    </r>
  </si>
  <si>
    <r>
      <t xml:space="preserve">⑨ Address</t>
    </r>
  </si>
  <si>
    <r>
      <t xml:space="preserve">SSANCAR LTD,. </t>
    </r>
  </si>
  <si>
    <r>
      <t xml:space="preserve">      ID Card No.</t>
    </r>
  </si>
  <si>
    <r>
      <t xml:space="preserve">「It is proved that it was registered as above in accordance with Article 8 of the Motor Vehicle Management Act.</t>
    </r>
  </si>
  <si>
    <r>
      <t xml:space="preserve">※ Note: In the case of an electric vehicle or hydrogen fuel cell vehicle, the 'prime motor type' in column ⑦ refers to the 'drive motor type</t>
    </r>
  </si>
  <si>
    <t>Republic of Korea</t>
  </si>
  <si>
    <r>
      <t xml:space="preserve">1.Specifications</t>
    </r>
  </si>
  <si>
    <r>
      <t xml:space="preserve">  4. Validity period of inspection</t>
    </r>
  </si>
  <si>
    <r>
      <t xml:space="preserve">Specification Control Number</t>
    </r>
  </si>
  <si>
    <r>
      <t xml:space="preserve">    Date
Boot</t>
    </r>
  </si>
  <si>
    <r>
      <t xml:space="preserve">    Date
Until</t>
    </r>
  </si>
  <si>
    <r>
      <t xml:space="preserve"> Place of
Inspection</t>
    </r>
  </si>
  <si>
    <r>
      <t xml:space="preserve">mileage</t>
    </r>
  </si>
  <si>
    <r>
      <t xml:space="preserve"> Inspect manager check</t>
    </r>
  </si>
  <si>
    <r>
      <t xml:space="preserve">Prosecutor
Division</t>
    </r>
  </si>
  <si>
    <r>
      <t xml:space="preserve">(Type approval number)</t>
    </r>
  </si>
  <si>
    <r>
      <t xml:space="preserve">Length</t>
    </r>
  </si>
  <si>
    <r>
      <t xml:space="preserve">Width</t>
    </r>
  </si>
  <si>
    <r>
      <t xml:space="preserve">Height</t>
    </r>
  </si>
  <si>
    <r>
      <t xml:space="preserve">Weight</t>
    </r>
  </si>
  <si>
    <r>
      <t xml:space="preserve">Passenger Capacity</t>
    </r>
  </si>
  <si>
    <r>
      <t xml:space="preserve">Person</t>
    </r>
  </si>
  <si>
    <r>
      <t xml:space="preserve">Maximum load</t>
    </r>
  </si>
  <si>
    <r>
      <t xml:space="preserve">Displacement or</t>
    </r>
  </si>
  <si>
    <r>
      <t xml:space="preserve">Drive battery 
capacity</t>
    </r>
  </si>
  <si>
    <r>
      <t xml:space="preserve">Rated Output</t>
    </r>
  </si>
  <si>
    <r>
      <t xml:space="preserve">Number of Cylinders</t>
    </r>
  </si>
  <si>
    <r>
      <t xml:space="preserve">Cylinders,
(V),[kW]</t>
    </r>
  </si>
  <si>
    <r>
      <t xml:space="preserve">(Drive Storage Voltage)</t>
    </r>
  </si>
  <si>
    <r>
      <t xml:space="preserve">[Maximum Fuel Cell Output]</t>
    </r>
  </si>
  <si>
    <r>
      <t xml:space="preserve">Type of fuel and fuel 
consumption rate</t>
    </r>
  </si>
  <si>
    <r>
      <t xml:space="preserve">Manufacturer of 
drive battery cells</t>
    </r>
  </si>
  <si>
    <r>
      <t xml:space="preserve">Shape of drive battery cell</t>
    </r>
  </si>
  <si>
    <r>
      <t xml:space="preserve">Main raw materials of 
drive storage battery cells</t>
    </r>
  </si>
  <si>
    <r>
      <t xml:space="preserve">Note: In (18)~(21), the unit used refers to () in the case of an electric vehicle and [] in the case of a hydrogen fuel electric vehicle. In the case of special vehicles in Schedule 1 2 of the Enforcement Regulations of the Motor Vehicle Management Act, the maximum load refers to the maximum vertical load allowed to connect the towed vehicle and is not related to the towing capacity, (22)~(24) applies only to vehicles equipped with drive storage batteries (excluding vehicles with structures that cannot be charged through an external electricity source).</t>
    </r>
  </si>
  <si>
    <r>
      <t xml:space="preserve">2.Registration plate issued and sealed</t>
    </r>
  </si>
  <si>
    <r>
      <t xml:space="preserve">※ Note: In the first column of paragraph ㉚, write the date of new registration.</t>
    </r>
  </si>
  <si>
    <r>
      <t xml:space="preserve">㉕ Classification</t>
    </r>
  </si>
  <si>
    <r>
      <t xml:space="preserve"> ㉖ License plate 
     issuance date</t>
    </r>
  </si>
  <si>
    <r>
      <t xml:space="preserve">㉗ Confirmation of issuing agent</t>
    </r>
  </si>
  <si>
    <r>
      <t xml:space="preserve"> REMARKS</t>
    </r>
  </si>
  <si>
    <r>
      <t xml:space="preserve">3. Fact of mortgage registration (The contents of the mortgage registration are in the motor vehicle registration ledgerPlease perusal and confirm)</t>
    </r>
  </si>
  <si>
    <r>
      <t xml:space="preserve">㉘ Classification (setting or erasure)</t>
    </r>
  </si>
  <si>
    <r>
      <t xml:space="preserve">㉙ Date</t>
    </r>
  </si>
  <si>
    <r>
      <t xml:space="preserve">※ Please read the 'Notes' on the back.</t>
    </r>
  </si>
  <si>
    <r>
      <t xml:space="preserve">210mm x 297mm [white or heavy paper 80g/㎡]</t>
    </r>
  </si>
  <si>
    <r>
      <t xml:space="preserve">■ 자동차등록규칙 [별지 제 20호 서식] &lt;개정 2025. 1. 10.&gt;</t>
    </r>
  </si>
  <si>
    <r>
      <t xml:space="preserve">     Motor vehicle Registration Rules [Annex Form 20]</t>
    </r>
  </si>
  <si>
    <r>
      <t xml:space="preserve">자동차말소등록사실증명서</t>
    </r>
  </si>
  <si>
    <r>
      <t xml:space="preserve">Certificate of De-registration of Motor Vehicle</t>
    </r>
  </si>
  <si>
    <r>
      <t xml:space="preserve">제</t>
    </r>
  </si>
  <si>
    <r>
      <t xml:space="preserve">호 (No.        )</t>
    </r>
  </si>
  <si>
    <r>
      <t xml:space="preserve">자동차의
표    시    
Vehicle
Details</t>
    </r>
  </si>
  <si>
    <r>
      <t xml:space="preserve">자동차등록번호</t>
    </r>
  </si>
  <si>
    <r>
      <t xml:space="preserve">차종 및 주행거리</t>
    </r>
  </si>
  <si>
    <r>
      <t xml:space="preserve">승용</t>
    </r>
  </si>
  <si>
    <r>
      <t xml:space="preserve">Registration No.</t>
    </r>
  </si>
  <si>
    <r>
      <t xml:space="preserve">Vehicle Type and Mileage</t>
    </r>
  </si>
  <si>
    <r>
      <t xml:space="preserve">Model</t>
    </r>
  </si>
  <si>
    <r>
      <t xml:space="preserve">Chassis No.</t>
    </r>
  </si>
  <si>
    <r>
      <t xml:space="preserve">원동기형식</t>
    </r>
  </si>
  <si>
    <r>
      <t xml:space="preserve">모델연도</t>
    </r>
  </si>
  <si>
    <r>
      <t xml:space="preserve">Type of Engine</t>
    </r>
  </si>
  <si>
    <r>
      <t xml:space="preserve">Model Year</t>
    </r>
  </si>
  <si>
    <r>
      <t xml:space="preserve">용도
Vehicle Use</t>
    </r>
  </si>
  <si>
    <r>
      <t xml:space="preserve">Specification</t>
    </r>
  </si>
  <si>
    <r>
      <t xml:space="preserve">Management no.</t>
    </r>
  </si>
  <si>
    <r>
      <t xml:space="preserve">사업용사용기간</t>
    </r>
  </si>
  <si>
    <r>
      <t xml:space="preserve">Dete of initial</t>
    </r>
  </si>
  <si>
    <r>
      <t xml:space="preserve">Period of</t>
    </r>
  </si>
  <si>
    <r>
      <t xml:space="preserve">Registraton</t>
    </r>
  </si>
  <si>
    <r>
      <t xml:space="preserve">Business Usage</t>
    </r>
  </si>
  <si>
    <r>
      <t xml:space="preserve">성명 (명칭)</t>
    </r>
  </si>
  <si>
    <r>
      <t xml:space="preserve">주식회사싼카</t>
    </r>
  </si>
  <si>
    <r>
      <t xml:space="preserve">생년월일(법인등록번호)</t>
    </r>
  </si>
  <si>
    <r>
      <t xml:space="preserve">Name</t>
    </r>
  </si>
  <si>
    <r>
      <t xml:space="preserve">Date of birth
(Corporate Registration No.)</t>
    </r>
  </si>
  <si>
    <r>
      <t xml:space="preserve">말소등록일</t>
    </r>
  </si>
  <si>
    <r>
      <t xml:space="preserve">증명서 용도</t>
    </r>
  </si>
  <si>
    <r>
      <t xml:space="preserve">증명용</t>
    </r>
  </si>
  <si>
    <r>
      <t xml:space="preserve">Date of De-reglstration</t>
    </r>
  </si>
  <si>
    <r>
      <t xml:space="preserve">Use of Certificate</t>
    </r>
  </si>
  <si>
    <r>
      <t xml:space="preserve">말소등록구분</t>
    </r>
  </si>
  <si>
    <r>
      <t xml:space="preserve">수출예정(수출말소)</t>
    </r>
  </si>
  <si>
    <r>
      <t xml:space="preserve">권리관계여부</t>
    </r>
  </si>
  <si>
    <r>
      <t xml:space="preserve">압류(Seiure)</t>
    </r>
  </si>
  <si>
    <r>
      <t xml:space="preserve">:</t>
    </r>
  </si>
  <si>
    <r>
      <t xml:space="preserve">건</t>
    </r>
  </si>
  <si>
    <r>
      <t xml:space="preserve">Reason for De-registration</t>
    </r>
  </si>
  <si>
    <r>
      <t xml:space="preserve">Relation of Rights</t>
    </r>
  </si>
  <si>
    <r>
      <t xml:space="preserve">저당권(Mortgage)</t>
    </r>
  </si>
  <si>
    <r>
      <t xml:space="preserve">「자동차관리법」제13조 및 「자동차등록규칙」제40조에 따라 말소등록 되었음을 증명합니다.</t>
    </r>
  </si>
  <si>
    <r>
      <t xml:space="preserve">  This is to certify that the above vehicle was de-registered in accordance with Article 13 of the Motor</t>
    </r>
  </si>
  <si>
    <r>
      <t xml:space="preserve">Vehicle Management Act and Article 40 of the Motor Vehicle Registration Rules.</t>
    </r>
  </si>
  <si>
    <r>
      <t xml:space="preserve">발행 연월일 Date of Issue :</t>
    </r>
  </si>
  <si>
    <r>
      <t xml:space="preserve">Speial Metropolitan City Mayor ' Metropolitan City Mayor'</t>
    </r>
  </si>
  <si>
    <r>
      <t xml:space="preserve">Special Self-Governing City Mayor ' Do Governor ' Special Self-Governign Province Governor</t>
    </r>
  </si>
  <si>
    <r>
      <t xml:space="preserve">(The Head of a Si / Gun / Gu</t>
    </r>
  </si>
  <si>
    <r>
      <t xml:space="preserve">유의사항</t>
    </r>
  </si>
  <si>
    <r>
      <t xml:space="preserve">1. 말소등록된 자동차를 다시 등록하여 사용하려는 경우에는 「자동차등록령」 제20조 및 아래 표의 구분에 따른 기간에 신규등록을 신청해야 하며,그 </t>
    </r>
  </si>
  <si>
    <r>
      <t xml:space="preserve">    신청기간을 경과한 때에는 「자동차관리법」제84조제4항제7호에 따라 100만원 이하의 과태료를 납부해야 합니다. </t>
    </r>
  </si>
  <si>
    <r>
      <t xml:space="preserve">2. 말소등록 당시에 압류 및 저당권 등이 등록된 자동차는 「자동차관리법」제13조제10항 후단에 따라 해당 관리관계가 소멸되었음을 「자동차등록규칙」</t>
    </r>
  </si>
  <si>
    <r>
      <t xml:space="preserve">    제27조제3항에 따라 증명한 경우에만 신규등록을 신청할 수 있습니다. </t>
    </r>
  </si>
  <si>
    <r>
      <t xml:space="preserve">말소등록 사유</t>
    </r>
  </si>
  <si>
    <r>
      <t xml:space="preserve">신규등록 신청 기간</t>
    </r>
  </si>
  <si>
    <r>
      <t xml:space="preserve">1.「여객자동차 운수사업법」및 「화물자동차 운사사업법」에 따라 면허.등록.인가 또는 신고가 실효되거나 취소되어</t>
    </r>
  </si>
  <si>
    <r>
      <t xml:space="preserve">말소등록일부터 3개월 이내</t>
    </r>
  </si>
  <si>
    <r>
      <t xml:space="preserve">     말소들록된 경우</t>
    </r>
  </si>
  <si>
    <r>
      <t xml:space="preserve">2. 자동차를 교육,연구의 목적으로 사용하는 등 「자동차등록령」제31조제5항에 해당하는 사유로 말소등록된 경우</t>
    </r>
  </si>
  <si>
    <r>
      <t xml:space="preserve">3. 자동차의 차대[차대가 없는 자동차의 경우에는 차체(車體)를 말합니다. 이하 이 호에서 같습니다]가 등록원부상의</t>
    </r>
  </si>
  <si>
    <r>
      <t xml:space="preserve">    차대와 달라 직권으로 말소등록된 경우</t>
    </r>
  </si>
  <si>
    <r>
      <t xml:space="preserve">4. 속임수나 그밖의 부정한 방법으로 등록되어 직권으로 말소등록된경우</t>
    </r>
  </si>
  <si>
    <r>
      <t xml:space="preserve">5. 자동차를 제작.조립 또는 수입하는 자(이들로부터 자동차의 판매위탁을 받은 자를 포함합니다)에게 반품(「자동차</t>
    </r>
  </si>
  <si>
    <r>
      <t xml:space="preserve">말소등록일부터 6개월 이내</t>
    </r>
  </si>
  <si>
    <r>
      <t xml:space="preserve">     관리법」제47조의2의 교환 또는 환불 요구에 따라 반품된 경우를 포함합니다)하여 말소등록된 경우</t>
    </r>
  </si>
  <si>
    <r>
      <t xml:space="preserve">6. 수출로 말소등록된 경우</t>
    </r>
  </si>
  <si>
    <r>
      <t xml:space="preserve">말소등록일부터 1년 이내</t>
    </r>
  </si>
  <si>
    <r>
      <t xml:space="preserve">7. 도난,횡령 또는 편취 당하여 말소등록된 경우</t>
    </r>
  </si>
  <si>
    <r>
      <t xml:space="preserve">해당 자동차를 회수한 날부터 3개월 이내</t>
    </r>
  </si>
  <si>
    <r>
      <t xml:space="preserve">◈ 자동차365(car365.go.kr)의 인터넷발급문서확인 메뉴를 통해 위.변조 여부를 확인할 수 있습니다. (발급일로부터 90일까지)또한 문서 하단의 바코드로도</t>
    </r>
  </si>
  <si>
    <r>
      <t xml:space="preserve">진위확인(정부24 앱 또는 스캐너용 문서확인 프로그램)을 하실수 있습니다.</t>
    </r>
  </si>
  <si>
    <r>
      <t xml:space="preserve">COMMERCIAL INVOICE</t>
    </r>
  </si>
  <si>
    <r>
      <t xml:space="preserve">1) Shipper / Exporter</t>
    </r>
  </si>
  <si>
    <r>
      <t xml:space="preserve">Reference No.      DFSU6646075</t>
    </r>
  </si>
  <si>
    <r>
      <t xml:space="preserve">ORIGINAL</t>
    </r>
  </si>
  <si>
    <t>SSANCAR LTD.,
163 Sangidaehak-ro, Siheung-si,
Gyeonggi-do, Republic of Korea
TEL:82-505-355-9977  
FAX:82-505-366-9977 
EMAIL : ssancar9977@gmail.com</t>
  </si>
  <si>
    <r>
      <t xml:space="preserve">Reference code.   DFSU6646075</t>
    </r>
  </si>
  <si>
    <r>
      <t xml:space="preserve">CERTIFICATE OF ORIGIN</t>
    </r>
  </si>
  <si>
    <r>
      <t xml:space="preserve">Issued by</t>
    </r>
  </si>
  <si>
    <r>
      <t xml:space="preserve">THE KOREA CHAMBER OF COMMERCE &amp; INDUSTRY</t>
    </r>
  </si>
  <si>
    <r>
      <t xml:space="preserve">2) For account &amp; risk of Messers.</t>
    </r>
  </si>
  <si>
    <r>
      <t xml:space="preserve">Seoul, Republic of korea</t>
    </r>
  </si>
  <si>
    <r>
      <t xml:space="preserve"> *Remark</t>
    </r>
  </si>
  <si>
    <r>
      <t xml:space="preserve">8) No. &amp; date of invoice</t>
    </r>
  </si>
  <si>
    <r>
      <t xml:space="preserve">3) Notify party</t>
    </r>
  </si>
  <si>
    <r>
      <t xml:space="preserve">9) No. &amp; date of L/C</t>
    </r>
  </si>
  <si>
    <r>
      <t xml:space="preserve">SAME AS ABOVE</t>
    </r>
  </si>
  <si>
    <r>
      <t xml:space="preserve">TTR BASE</t>
    </r>
  </si>
  <si>
    <r>
      <t xml:space="preserve">4) Port of loading</t>
    </r>
  </si>
  <si>
    <r>
      <t xml:space="preserve">5) Final Destination</t>
    </r>
  </si>
  <si>
    <r>
      <t xml:space="preserve">10) L/C issuing bank</t>
    </r>
  </si>
  <si>
    <r>
      <t xml:space="preserve">6) Vessel name</t>
    </r>
  </si>
  <si>
    <r>
      <t xml:space="preserve">7) Sailing on or about</t>
    </r>
  </si>
  <si>
    <r>
      <t xml:space="preserve">11) MARKS AND NUMBERS OF PKGS</t>
    </r>
  </si>
  <si>
    <r>
      <t xml:space="preserve">12) Description of Goods</t>
    </r>
  </si>
  <si>
    <r>
      <t xml:space="preserve">13) Quantity</t>
    </r>
  </si>
  <si>
    <r>
      <t xml:space="preserve">14) Unit price</t>
    </r>
  </si>
  <si>
    <r>
      <t xml:space="preserve">15) Amount</t>
    </r>
  </si>
  <si>
    <r>
      <t xml:space="preserve">16) DISPLACE-MENT(cc)</t>
    </r>
  </si>
  <si>
    <r>
      <t xml:space="preserve">NO.</t>
    </r>
  </si>
  <si>
    <r>
      <t xml:space="preserve">Commodity</t>
    </r>
  </si>
  <si>
    <r>
      <t xml:space="preserve">Year</t>
    </r>
  </si>
  <si>
    <r>
      <t xml:space="preserve">Q'TY</t>
    </r>
  </si>
  <si>
    <r>
      <t xml:space="preserve">Unit Price</t>
    </r>
  </si>
  <si>
    <r>
      <t xml:space="preserve">AMOUNT</t>
    </r>
  </si>
  <si>
    <r>
      <t xml:space="preserve">Shipping</t>
    </r>
  </si>
  <si>
    <r>
      <t xml:space="preserve"> GRAND TOTAL :</t>
    </r>
  </si>
  <si>
    <r>
      <t xml:space="preserve">Telephone No : 82- 10 - 9009 - 9977</t>
    </r>
  </si>
  <si>
    <r>
      <t xml:space="preserve">Signed By    </t>
    </r>
  </si>
  <si>
    <r>
      <t xml:space="preserve">Fax No          : 82- 505 - 366 - 9977</t>
    </r>
  </si>
  <si>
    <r>
      <t xml:space="preserve">COMMERCIAL PACKING LIST</t>
    </r>
  </si>
  <si>
    <r>
      <t xml:space="preserve">16) WEIGHT</t>
    </r>
  </si>
  <si>
    <r>
      <t xml:space="preserve">Weight
(KG)</t>
    </r>
  </si>
  <si>
    <r>
      <t xml:space="preserve">PROFORMA INVOICE</t>
    </r>
  </si>
  <si>
    <t>Ssancar LTD 163 Sangidaehak-ro, Siheung-si, Gyeonggi-do, Korea   Phone: +82-505-355-9977</t>
  </si>
  <si>
    <r>
      <t xml:space="preserve">Date</t>
    </r>
  </si>
  <si>
    <r>
      <t xml:space="preserve">Invoice No.</t>
    </r>
  </si>
  <si>
    <r>
      <t xml:space="preserve">Nit</t>
    </r>
  </si>
  <si>
    <r>
      <t xml:space="preserve">Address</t>
    </r>
  </si>
  <si>
    <r>
      <t xml:space="preserve">Country</t>
    </r>
  </si>
  <si>
    <r>
      <t xml:space="preserve">Phone</t>
    </r>
  </si>
  <si>
    <r>
      <t xml:space="preserve">Total invoice</t>
    </r>
  </si>
  <si>
    <r>
      <t xml:space="preserve">Total received in Korea</t>
    </r>
  </si>
  <si>
    <r>
      <t xml:space="preserve">Not received</t>
    </r>
  </si>
  <si>
    <r>
      <t xml:space="preserve">BANK ACCOUNT INFORMATION</t>
    </r>
  </si>
  <si>
    <r>
      <t xml:space="preserve">Beneficiary</t>
    </r>
  </si>
  <si>
    <r>
      <t xml:space="preserve">SSANCAR CO LTD</t>
    </r>
  </si>
  <si>
    <r>
      <t xml:space="preserve">Bank Name</t>
    </r>
  </si>
  <si>
    <r>
      <t xml:space="preserve">SHINHAN BANK</t>
    </r>
  </si>
  <si>
    <r>
      <t xml:space="preserve">Swift Code</t>
    </r>
  </si>
  <si>
    <r>
      <t xml:space="preserve">SHBKKRSE</t>
    </r>
  </si>
  <si>
    <r>
      <t xml:space="preserve">Bank Address</t>
    </r>
  </si>
  <si>
    <r>
      <t xml:space="preserve">20,Sejong-Daero9-Gil,Jung-Gu Seoul South Korea</t>
    </r>
  </si>
  <si>
    <r>
      <t xml:space="preserve">Bank Account Number</t>
    </r>
  </si>
  <si>
    <r>
      <t xml:space="preserve">180-008-400167</t>
    </r>
  </si>
  <si>
    <r>
      <t xml:space="preserve">Beneficiary Address</t>
    </r>
  </si>
  <si>
    <r>
      <t xml:space="preserve">163 Sangidaehak-ro, Siheung-si, Gyeonggi-do,   SOUTH KOREA</t>
    </r>
  </si>
  <si>
    <r>
      <t xml:space="preserve">Code</t>
    </r>
  </si>
  <si>
    <r>
      <t xml:space="preserve">Chassis Number</t>
    </r>
  </si>
  <si>
    <r>
      <t xml:space="preserve">Lot. No.</t>
    </r>
  </si>
  <si>
    <r>
      <t xml:space="preserve">Total</t>
    </r>
  </si>
  <si>
    <r>
      <t xml:space="preserve">Sub Total</t>
    </r>
  </si>
  <si>
    <r>
      <t xml:space="preserve">Shipping Cost</t>
    </r>
  </si>
  <si>
    <r>
      <t xml:space="preserve">Grend Total</t>
    </r>
  </si>
</sst>
</file>

<file path=xl/styles.xml><?xml version="1.0" encoding="utf-8"?>
<styleSheet xmlns="http://schemas.openxmlformats.org/spreadsheetml/2006/main" xml:space="preserve">
  <numFmts count="16">
    <numFmt numFmtId="164" formatCode="#,##0_ ;[Red]\-#,##0\ "/>
    <numFmt numFmtId="165" formatCode="[$-409]mmm&quot; . &quot;dd&quot; . &quot;yy;@"/>
    <numFmt numFmtId="166" formatCode="\$#,##0;[Red]\-\$#,##0"/>
    <numFmt numFmtId="167" formatCode="\$#,##0"/>
    <numFmt numFmtId="168" formatCode="0_ "/>
    <numFmt numFmtId="169" formatCode="0.0"/>
    <numFmt numFmtId="170" formatCode="yyyy&quot;년&quot;\ m&quot;월&quot;\ d&quot;일&quot;;@"/>
    <numFmt numFmtId="171" formatCode="yy&quot;.&quot;mm&quot;.&quot;dd;@"/>
    <numFmt numFmtId="172" formatCode="[=1]&quot;휘발유&quot;;[=2]&quot;경유&quot;;;"/>
    <numFmt numFmtId="173" formatCode="_-* #,##0_-;\-* #,##0_-;_-* &quot;-&quot;_-;_-@_-"/>
    <numFmt numFmtId="174" formatCode="#,##0&quot; CAR(S)&quot;"/>
    <numFmt numFmtId="175" formatCode="\$#,##0_);\(\$#,##0\)"/>
    <numFmt numFmtId="176" formatCode="&quot;U$&quot;#,##0.\-"/>
    <numFmt numFmtId="177" formatCode="[$-409]d&quot;-&quot;mmm&quot;-&quot;yy;@"/>
    <numFmt numFmtId="178" formatCode="0_);[Red]\(0\)"/>
    <numFmt numFmtId="179" formatCode="&quot;$&quot;#,##0.00"/>
  </numFmts>
  <fonts count="71">
    <font>
      <b val="0"/>
      <i val="0"/>
      <strike val="0"/>
      <u val="none"/>
      <sz val="11"/>
      <color rgb="FF000000"/>
      <name val="맑은 고딕"/>
      <scheme val="minor"/>
    </font>
    <font>
      <b val="0"/>
      <i val="0"/>
      <strike val="0"/>
      <u val="none"/>
      <sz val="11"/>
      <color rgb="FF000000"/>
      <name val="HY견명조"/>
    </font>
    <font>
      <b val="0"/>
      <i val="0"/>
      <strike val="0"/>
      <u val="none"/>
      <sz val="10"/>
      <color rgb="FF000000"/>
      <name val="HY견명조"/>
    </font>
    <font>
      <b val="0"/>
      <i val="0"/>
      <strike val="0"/>
      <u val="none"/>
      <sz val="10"/>
      <color rgb="FF000000"/>
      <name val="HY궁서B"/>
    </font>
    <font>
      <b val="0"/>
      <i val="0"/>
      <strike val="0"/>
      <u val="none"/>
      <sz val="11"/>
      <color rgb="FF000000"/>
      <name val="HY궁서B"/>
    </font>
    <font>
      <b val="0"/>
      <i val="0"/>
      <strike val="0"/>
      <u val="none"/>
      <sz val="9"/>
      <color rgb="FF000000"/>
      <name val="HY궁서B"/>
    </font>
    <font>
      <b val="1"/>
      <i val="0"/>
      <strike val="0"/>
      <u val="none"/>
      <sz val="10"/>
      <color rgb="FF000000"/>
      <name val="Arial Narrow"/>
    </font>
    <font>
      <b val="1"/>
      <i val="0"/>
      <strike val="0"/>
      <u val="none"/>
      <sz val="10"/>
      <color rgb="00000000"/>
      <name val="맑은 고딕"/>
      <scheme val="minor"/>
    </font>
    <font>
      <b val="1"/>
      <i val="0"/>
      <strike val="0"/>
      <u val="none"/>
      <sz val="11"/>
      <color rgb="FF000000"/>
      <name val="맑은 고딕"/>
      <scheme val="minor"/>
    </font>
    <font>
      <b val="0"/>
      <i val="0"/>
      <strike val="0"/>
      <u val="none"/>
      <sz val="8"/>
      <color rgb="FF0070C0"/>
      <name val="Arial Narrow"/>
    </font>
    <font>
      <b val="0"/>
      <i val="0"/>
      <strike val="0"/>
      <u val="none"/>
      <sz val="9"/>
      <color rgb="FF000000"/>
      <name val="Arial Narrow"/>
    </font>
    <font>
      <b val="1"/>
      <i val="0"/>
      <strike val="0"/>
      <u val="none"/>
      <sz val="10"/>
      <color rgb="FF000000"/>
      <name val="맑은 고딕"/>
      <scheme val="minor"/>
    </font>
    <font>
      <b val="0"/>
      <i val="0"/>
      <strike val="0"/>
      <u val="none"/>
      <sz val="9"/>
      <color rgb="FF0070C0"/>
      <name val="Arial Narrow"/>
    </font>
    <font>
      <b val="0"/>
      <i val="0"/>
      <strike val="0"/>
      <u val="none"/>
      <sz val="8"/>
      <color rgb="FFFF0000"/>
      <name val="Arial Narrow"/>
    </font>
    <font>
      <b val="1"/>
      <i val="0"/>
      <strike val="0"/>
      <u val="none"/>
      <sz val="11"/>
      <color rgb="FF000000"/>
      <name val="Arial Narrow"/>
    </font>
    <font>
      <b val="0"/>
      <i val="0"/>
      <strike val="0"/>
      <u val="none"/>
      <sz val="11"/>
      <color rgb="FF000000"/>
      <name val="Arial Narrow"/>
    </font>
    <font>
      <b val="1"/>
      <i val="0"/>
      <strike val="0"/>
      <u val="none"/>
      <sz val="10"/>
      <color rgb="FFFF0000"/>
      <name val="Arial Narrow"/>
    </font>
    <font>
      <b val="1"/>
      <i val="0"/>
      <strike val="0"/>
      <u val="single"/>
      <sz val="10"/>
      <color rgb="FFFF0000"/>
      <name val="Arial Narrow"/>
    </font>
    <font>
      <b val="0"/>
      <i val="0"/>
      <strike val="0"/>
      <u val="none"/>
      <sz val="10"/>
      <color rgb="FF000000"/>
      <name val="Arial"/>
    </font>
    <font>
      <b val="0"/>
      <i val="0"/>
      <strike val="0"/>
      <u val="none"/>
      <sz val="8"/>
      <color rgb="FF000000"/>
      <name val="Tahoma"/>
    </font>
    <font>
      <b val="0"/>
      <i val="0"/>
      <strike val="0"/>
      <u val="none"/>
      <sz val="10"/>
      <color rgb="FF000000"/>
      <name val="Tahoma"/>
    </font>
    <font>
      <b val="1"/>
      <i val="0"/>
      <strike val="0"/>
      <u val="none"/>
      <sz val="10"/>
      <color rgb="FF000000"/>
      <name val="Tahoma"/>
    </font>
    <font>
      <b val="1"/>
      <i val="0"/>
      <strike val="0"/>
      <u val="none"/>
      <sz val="10"/>
      <color rgb="FF000000"/>
      <name val="Arial"/>
    </font>
    <font>
      <b val="1"/>
      <i val="0"/>
      <strike val="0"/>
      <u val="none"/>
      <sz val="12"/>
      <color rgb="FF000000"/>
      <name val="Tahoma"/>
    </font>
    <font>
      <b val="0"/>
      <i val="0"/>
      <strike val="0"/>
      <u val="none"/>
      <sz val="9"/>
      <color rgb="FF000000"/>
      <name val="Tahoma"/>
    </font>
    <font>
      <b val="1"/>
      <i val="0"/>
      <strike val="0"/>
      <u val="none"/>
      <sz val="12"/>
      <color rgb="FF000000"/>
      <name val="맑은 고딕"/>
      <scheme val="minor"/>
    </font>
    <font>
      <b val="0"/>
      <i val="0"/>
      <strike val="0"/>
      <u val="none"/>
      <sz val="8"/>
      <color rgb="FF000000"/>
      <name val="HY견명조"/>
    </font>
    <font>
      <b val="0"/>
      <i val="0"/>
      <strike val="0"/>
      <u val="none"/>
      <sz val="7"/>
      <color rgb="FF000000"/>
      <name val="HY견명조"/>
    </font>
    <font>
      <b val="0"/>
      <i val="0"/>
      <strike val="0"/>
      <u val="none"/>
      <sz val="12"/>
      <color rgb="FF000000"/>
      <name val="Congenial"/>
    </font>
    <font>
      <b val="0"/>
      <i val="0"/>
      <strike val="0"/>
      <u val="none"/>
      <sz val="11"/>
      <color rgb="FF000000"/>
      <name val="Congenial"/>
    </font>
    <font>
      <b val="0"/>
      <i val="0"/>
      <strike val="0"/>
      <u val="none"/>
      <sz val="11"/>
      <color rgb="FF000000"/>
      <name val="Noto Serif KR"/>
    </font>
    <font>
      <b val="0"/>
      <i val="0"/>
      <strike val="0"/>
      <u val="none"/>
      <sz val="11"/>
      <color rgb="FF000000"/>
      <name val="맑은 고딕"/>
      <scheme val="major"/>
    </font>
    <font>
      <b val="0"/>
      <i val="0"/>
      <strike val="0"/>
      <u val="none"/>
      <sz val="9"/>
      <color rgb="FF000000"/>
      <name val="맑은 고딕"/>
      <scheme val="major"/>
    </font>
    <font>
      <b val="0"/>
      <i val="0"/>
      <strike val="0"/>
      <u val="none"/>
      <sz val="11"/>
      <color rgb="FF000000"/>
      <name val="Segoe UI"/>
    </font>
    <font>
      <b val="0"/>
      <i val="0"/>
      <strike val="0"/>
      <u val="none"/>
      <sz val="7"/>
      <color rgb="FF000000"/>
      <name val="HY궁서B"/>
    </font>
    <font>
      <b val="0"/>
      <i val="0"/>
      <strike val="0"/>
      <u val="none"/>
      <sz val="12"/>
      <color rgb="FF000000"/>
      <name val="맑은 고딕"/>
      <scheme val="minor"/>
    </font>
    <font>
      <b val="0"/>
      <i val="0"/>
      <strike val="0"/>
      <u val="none"/>
      <sz val="15"/>
      <color rgb="FF000000"/>
      <name val="맑은 고딕"/>
      <scheme val="minor"/>
    </font>
    <font>
      <b val="0"/>
      <i val="0"/>
      <strike val="0"/>
      <u val="none"/>
      <sz val="14"/>
      <color rgb="FF000000"/>
      <name val="맑은 고딕"/>
      <scheme val="minor"/>
    </font>
    <font>
      <b val="0"/>
      <i val="0"/>
      <strike val="0"/>
      <u val="none"/>
      <sz val="14"/>
      <color rgb="FF000000"/>
      <name val="HY견명조"/>
    </font>
    <font>
      <b val="0"/>
      <i val="0"/>
      <strike val="0"/>
      <u val="none"/>
      <sz val="10"/>
      <color rgb="FF000000"/>
      <name val="맑은 고딕"/>
      <scheme val="minor"/>
    </font>
    <font>
      <b val="0"/>
      <i val="0"/>
      <strike val="0"/>
      <u val="none"/>
      <sz val="11"/>
      <color rgb="FF808080"/>
      <name val="Arial Narrow"/>
    </font>
    <font>
      <b val="1"/>
      <i val="0"/>
      <strike val="0"/>
      <u val="none"/>
      <sz val="11"/>
      <color rgb="FFFF0000"/>
      <name val="맑은 고딕"/>
      <scheme val="minor"/>
    </font>
    <font>
      <b val="0"/>
      <i val="0"/>
      <strike val="0"/>
      <u val="none"/>
      <sz val="10"/>
      <color rgb="FF000000"/>
      <name val="taboma"/>
    </font>
    <font>
      <b val="0"/>
      <i val="0"/>
      <strike val="0"/>
      <u val="none"/>
      <sz val="11"/>
      <color rgb="FF000000"/>
      <name val="Malgun Gothic"/>
    </font>
    <font>
      <b val="0"/>
      <i val="0"/>
      <strike val="0"/>
      <u val="none"/>
      <sz val="7.5"/>
      <color rgb="FF000000"/>
      <name val="HY견명조"/>
    </font>
    <font>
      <b val="0"/>
      <i val="0"/>
      <strike val="0"/>
      <u val="none"/>
      <sz val="8"/>
      <color rgb="FF000000"/>
      <name val="맑은 고딕"/>
      <scheme val="minor"/>
    </font>
    <font>
      <b val="0"/>
      <i val="0"/>
      <strike val="0"/>
      <u val="none"/>
      <sz val="9"/>
      <color rgb="FF000000"/>
      <name val="HY견명조"/>
    </font>
    <font>
      <b val="1"/>
      <i val="0"/>
      <strike val="0"/>
      <u val="none"/>
      <sz val="28"/>
      <color rgb="FF000000"/>
      <name val="맑은 고딕"/>
      <scheme val="minor"/>
    </font>
    <font>
      <b val="0"/>
      <i val="0"/>
      <strike val="0"/>
      <u val="none"/>
      <sz val="13"/>
      <color rgb="FF000000"/>
      <name val="맑은 고딕"/>
      <scheme val="minor"/>
    </font>
    <font>
      <b val="0"/>
      <i val="0"/>
      <strike val="0"/>
      <u val="none"/>
      <sz val="20"/>
      <color rgb="FF000000"/>
      <name val="맑은 고딕"/>
      <scheme val="minor"/>
    </font>
    <font>
      <b val="1"/>
      <i val="0"/>
      <strike val="0"/>
      <u val="none"/>
      <sz val="16"/>
      <color rgb="FF000000"/>
      <name val="맑은 고딕"/>
      <scheme val="minor"/>
    </font>
    <font>
      <b val="1"/>
      <i val="0"/>
      <strike val="0"/>
      <u val="none"/>
      <sz val="14"/>
      <color rgb="FFFF0000"/>
      <name val="Arial Narrow"/>
    </font>
    <font>
      <b val="1"/>
      <i val="0"/>
      <strike val="0"/>
      <u val="none"/>
      <sz val="12"/>
      <color rgb="FF000000"/>
      <name val="Arial Narrow"/>
    </font>
    <font>
      <b val="0"/>
      <i val="0"/>
      <strike val="0"/>
      <u val="single"/>
      <sz val="26"/>
      <color rgb="FFFFFFFF"/>
      <name val="Arial Black"/>
    </font>
    <font>
      <b val="1"/>
      <i val="0"/>
      <strike val="0"/>
      <u val="none"/>
      <sz val="16"/>
      <color rgb="00FFFFFF"/>
      <name val="Tahoma"/>
    </font>
    <font>
      <b val="1"/>
      <i val="1"/>
      <strike val="0"/>
      <u val="none"/>
      <sz val="8"/>
      <color rgb="FF000000"/>
      <name val="Arial"/>
    </font>
    <font>
      <b val="1"/>
      <i val="0"/>
      <strike val="0"/>
      <u val="none"/>
      <sz val="28"/>
      <color rgb="FF000000"/>
      <name val="HY견명조"/>
    </font>
    <font>
      <b val="1"/>
      <i val="0"/>
      <strike val="0"/>
      <u val="none"/>
      <sz val="26"/>
      <color rgb="FF000000"/>
      <name val="HY견명조"/>
    </font>
    <font>
      <b val="0"/>
      <i val="0"/>
      <strike val="0"/>
      <u val="none"/>
      <sz val="10"/>
      <color rgb="FF000000"/>
      <name val="나눔고딕"/>
    </font>
    <font>
      <b val="0"/>
      <i val="0"/>
      <strike val="0"/>
      <u val="none"/>
      <sz val="5"/>
      <color rgb="FF000000"/>
      <name val="HY견명조"/>
    </font>
    <font>
      <b val="0"/>
      <i val="0"/>
      <strike val="0"/>
      <u val="none"/>
      <sz val="6"/>
      <color rgb="FF000000"/>
      <name val="HY견명조"/>
    </font>
    <font>
      <b val="0"/>
      <i val="0"/>
      <strike val="0"/>
      <u val="none"/>
      <sz val="14"/>
      <color rgb="FF000000"/>
      <name val="HY궁서B"/>
    </font>
    <font>
      <b val="1"/>
      <i val="0"/>
      <strike val="0"/>
      <u val="none"/>
      <sz val="24"/>
      <color rgb="FF000000"/>
      <name val="Arial"/>
    </font>
    <font>
      <b val="1"/>
      <i val="0"/>
      <strike val="0"/>
      <u val="none"/>
      <sz val="18"/>
      <color rgb="FFFF0000"/>
      <name val="Arial Narrow"/>
    </font>
    <font>
      <b val="1"/>
      <i val="0"/>
      <strike val="0"/>
      <u val="none"/>
      <sz val="18"/>
      <color rgb="FF000000"/>
      <name val="Arial Narrow"/>
    </font>
    <font>
      <b val="1"/>
      <i val="0"/>
      <strike val="0"/>
      <u val="none"/>
      <sz val="15"/>
      <color rgb="FF000000"/>
      <name val="맑은 고딕"/>
    </font>
    <font>
      <b val="1"/>
      <i val="0"/>
      <strike val="0"/>
      <u val="single"/>
      <sz val="20"/>
      <color rgb="FF000000"/>
      <name val="Arial Narrow"/>
    </font>
    <font>
      <b val="0"/>
      <i val="0"/>
      <strike val="0"/>
      <u val="none"/>
      <sz val="16"/>
      <color rgb="FF000000"/>
      <name val="Impact"/>
    </font>
    <font>
      <b val="1"/>
      <i val="0"/>
      <strike val="0"/>
      <u val="none"/>
      <sz val="24"/>
      <color rgb="FF000000"/>
      <name val="HY견명조"/>
    </font>
    <font>
      <b val="1"/>
      <i val="0"/>
      <strike val="0"/>
      <u val="none"/>
      <sz val="20"/>
      <color rgb="FF000000"/>
      <name val="HY견명조"/>
    </font>
    <font>
      <b val="1"/>
      <i val="0"/>
      <strike val="0"/>
      <u val="none"/>
      <sz val="24"/>
      <color rgb="FF000000"/>
      <name val="맑은 고딕"/>
      <scheme val="minor"/>
    </font>
  </fonts>
  <fills count="14">
    <fill>
      <patternFill patternType="none"/>
    </fill>
    <fill>
      <patternFill patternType="gray125"/>
    </fill>
    <fill>
      <patternFill patternType="solid">
        <fgColor rgb="FFDDD9C3"/>
        <bgColor rgb="FFFFFFFF"/>
      </patternFill>
    </fill>
    <fill>
      <patternFill patternType="solid">
        <fgColor rgb="FFFFFFFF"/>
        <bgColor rgb="FFFFFFFF"/>
      </patternFill>
    </fill>
    <fill>
      <patternFill patternType="solid">
        <fgColor rgb="FFE6E0ED"/>
        <bgColor rgb="FFFFFFFF"/>
      </patternFill>
    </fill>
    <fill>
      <patternFill patternType="solid">
        <fgColor rgb="FFC00000"/>
        <bgColor rgb="FFFFFFFF"/>
      </patternFill>
    </fill>
    <fill>
      <patternFill patternType="solid">
        <fgColor rgb="FFF2F2F2"/>
        <bgColor rgb="FFFFFFFF"/>
      </patternFill>
    </fill>
    <fill>
      <patternFill patternType="solid">
        <fgColor rgb="FFDBE5F2"/>
        <bgColor rgb="FFFFFFFF"/>
      </patternFill>
    </fill>
    <fill>
      <patternFill patternType="solid">
        <fgColor rgb="FFD9D9D9"/>
        <bgColor rgb="FFFFFFFF"/>
      </patternFill>
    </fill>
    <fill>
      <patternFill patternType="solid">
        <fgColor rgb="FFF2DBDB"/>
        <bgColor rgb="FFFFFFFF"/>
      </patternFill>
    </fill>
    <fill>
      <patternFill patternType="solid">
        <fgColor rgb="FFFFFF00"/>
        <bgColor rgb="FFFFFFFF"/>
      </patternFill>
    </fill>
    <fill>
      <patternFill patternType="solid">
        <fgColor rgb="FFFFC000"/>
        <bgColor rgb="FFFFFFFF"/>
      </patternFill>
    </fill>
    <fill>
      <patternFill patternType="solid">
        <fgColor rgb="00FF99CC"/>
        <bgColor rgb="FFFFFFFF"/>
      </patternFill>
    </fill>
    <fill>
      <patternFill patternType="solid">
        <fgColor rgb="FFDBE5F2"/>
        <bgColor rgb="FF000000"/>
      </patternFill>
    </fill>
  </fills>
  <borders count="66">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00000000"/>
      </right>
      <top style="hair">
        <color rgb="00000000"/>
      </top>
      <bottom style="hair">
        <color rgb="00000000"/>
      </bottom>
      <diagonal/>
    </border>
    <border>
      <left/>
      <right style="thin">
        <color rgb="00000000"/>
      </right>
      <top style="hair">
        <color rgb="00000000"/>
      </top>
      <bottom style="thin">
        <color rgb="00000000"/>
      </bottom>
      <diagonal/>
    </border>
    <border>
      <left style="thin">
        <color rgb="FF000000"/>
      </left>
      <right/>
      <top style="double">
        <color rgb="FF000000"/>
      </top>
      <bottom style="thin">
        <color rgb="FF000000"/>
      </bottom>
      <diagonal/>
    </border>
    <border>
      <left style="thin">
        <color rgb="FFC4BE98"/>
      </left>
      <right style="thin">
        <color rgb="FFC4BE98"/>
      </right>
      <top style="thin">
        <color rgb="FFC4BE98"/>
      </top>
      <bottom style="thin">
        <color rgb="FFC4BE98"/>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D9D9D9"/>
      </left>
      <right/>
      <top style="thin">
        <color rgb="FFBFBFBF"/>
      </top>
      <bottom/>
      <diagonal/>
    </border>
    <border>
      <left/>
      <right/>
      <top style="thin">
        <color rgb="FFBFBFBF"/>
      </top>
      <bottom/>
      <diagonal/>
    </border>
    <border>
      <left style="thin">
        <color rgb="FFD9D9D9"/>
      </left>
      <right/>
      <top/>
      <bottom style="thin">
        <color rgb="FF000000"/>
      </bottom>
      <diagonal/>
    </border>
    <border>
      <left style="thin">
        <color rgb="FFD9D9D9"/>
      </left>
      <right/>
      <top/>
      <bottom/>
      <diagonal/>
    </border>
    <border>
      <left style="thin">
        <color rgb="00000000"/>
      </left>
      <right style="thin">
        <color rgb="00000000"/>
      </right>
      <top/>
      <bottom style="hair">
        <color rgb="00000000"/>
      </bottom>
      <diagonal/>
    </border>
    <border>
      <left/>
      <right style="thin">
        <color rgb="00000000"/>
      </right>
      <top/>
      <bottom style="hair">
        <color rgb="00000000"/>
      </bottom>
      <diagonal/>
    </border>
    <border>
      <left/>
      <right style="thin">
        <color rgb="FF000000"/>
      </right>
      <top style="thin">
        <color rgb="FF000000"/>
      </top>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000000"/>
      </bottom>
      <diagonal/>
    </border>
    <border>
      <left style="thin">
        <color rgb="FFD9D9D9"/>
      </left>
      <right style="thin">
        <color rgb="FFD9D9D9"/>
      </right>
      <top style="thin">
        <color rgb="FF000000"/>
      </top>
      <bottom/>
      <diagonal/>
    </border>
    <border>
      <left/>
      <right style="thin">
        <color rgb="FFD9D9D9"/>
      </right>
      <top/>
      <bottom style="thin">
        <color rgb="FF000000"/>
      </bottom>
      <diagonal/>
    </border>
    <border>
      <left/>
      <right/>
      <top/>
      <bottom style="thin">
        <color rgb="FFD9D9D9"/>
      </bottom>
      <diagonal/>
    </border>
    <border>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style="thin">
        <color rgb="FFD9D9D9"/>
      </left>
      <right/>
      <top style="thin">
        <color rgb="FF000000"/>
      </top>
      <bottom/>
      <diagonal/>
    </border>
    <border>
      <left/>
      <right style="thin">
        <color rgb="FFD9D9D9"/>
      </right>
      <top style="thin">
        <color rgb="FF000000"/>
      </top>
      <bottom/>
      <diagonal/>
    </border>
    <border>
      <left/>
      <right style="thin">
        <color rgb="FFD9D9D9"/>
      </right>
      <top/>
      <bottom/>
      <diagonal/>
    </border>
    <border>
      <left/>
      <right style="thin">
        <color rgb="FFD9D9D9"/>
      </right>
      <top/>
      <bottom style="thin">
        <color rgb="FFBFBFBF"/>
      </bottom>
      <diagonal/>
    </border>
    <border>
      <left style="thin">
        <color rgb="FFD9D9D9"/>
      </left>
      <right style="thin">
        <color rgb="FFD9D9D9"/>
      </right>
      <top/>
      <bottom style="thin">
        <color rgb="FFBFBFBF"/>
      </bottom>
      <diagonal/>
    </border>
    <border>
      <left/>
      <right style="thin">
        <color rgb="FFD9D9D9"/>
      </right>
      <top style="thin">
        <color rgb="FF000000"/>
      </top>
      <bottom style="thin">
        <color rgb="FFD9D9D9"/>
      </bottom>
      <diagonal/>
    </border>
    <border>
      <left style="thin">
        <color rgb="FFD9D9D9"/>
      </left>
      <right style="thin">
        <color rgb="FFD9D9D9"/>
      </right>
      <top style="thin">
        <color rgb="FF000000"/>
      </top>
      <bottom style="thin">
        <color rgb="FFD9D9D9"/>
      </bottom>
      <diagonal/>
    </border>
    <border>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style="thin">
        <color rgb="FF000000"/>
      </right>
      <top/>
      <bottom/>
      <diagonal/>
    </border>
    <border>
      <left/>
      <right style="thin">
        <color rgb="FFD9D9D9"/>
      </right>
      <top style="thin">
        <color rgb="FF000000"/>
      </top>
      <bottom style="thin">
        <color rgb="FF000000"/>
      </bottom>
      <diagonal/>
    </border>
    <border>
      <left/>
      <right style="thin">
        <color rgb="FFD9D9D9"/>
      </right>
      <top style="thin">
        <color rgb="FFD9D9D9"/>
      </top>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style="thin">
        <color rgb="FF000000"/>
      </top>
      <bottom style="thin">
        <color rgb="FF000000"/>
      </bottom>
      <diagonal/>
    </border>
    <border>
      <left style="thin">
        <color rgb="FFD9D9D9"/>
      </left>
      <right style="thin">
        <color rgb="FFD9D9D9"/>
      </right>
      <top style="thin">
        <color rgb="FF000000"/>
      </top>
      <bottom style="thin">
        <color rgb="FFBFBFBF"/>
      </bottom>
      <diagonal/>
    </border>
    <border>
      <left/>
      <right/>
      <top/>
      <bottom style="thin">
        <color rgb="FFBFBFBF"/>
      </bottom>
      <diagonal/>
    </border>
    <border>
      <left style="thin">
        <color rgb="FFD9D9D9"/>
      </left>
      <right/>
      <top/>
      <bottom style="thin">
        <color rgb="FFBFBFBF"/>
      </bottom>
      <diagonal/>
    </border>
    <border>
      <left/>
      <right/>
      <top style="thin">
        <color rgb="FF000000"/>
      </top>
      <bottom style="thin">
        <color rgb="FFD9D9D9"/>
      </bottom>
      <diagonal/>
    </border>
    <border>
      <left/>
      <right style="thin">
        <color rgb="FFD9D9D9"/>
      </right>
      <top style="thin">
        <color rgb="FFD9D9D9"/>
      </top>
      <bottom style="thin">
        <color rgb="FFD9D9D9"/>
      </bottom>
      <diagonal/>
    </border>
    <border>
      <left style="thin">
        <color rgb="00000000"/>
      </left>
      <right style="thin">
        <color rgb="FF000000"/>
      </right>
      <top style="thin">
        <color rgb="FF000000"/>
      </top>
      <bottom style="thin">
        <color rgb="FF000000"/>
      </bottom>
      <diagonal/>
    </border>
    <border>
      <left style="thin">
        <color rgb="00000000"/>
      </left>
      <right style="thin">
        <color rgb="00000000"/>
      </right>
      <top style="hair">
        <color rgb="00000000"/>
      </top>
      <bottom style="hair">
        <color rgb="00000000"/>
      </bottom>
      <diagonal/>
    </border>
    <border>
      <left style="thin">
        <color rgb="00000000"/>
      </left>
      <right style="thin">
        <color rgb="00000000"/>
      </right>
      <top style="hair">
        <color rgb="00000000"/>
      </top>
      <bottom style="thin">
        <color rgb="00000000"/>
      </bottom>
      <diagonal/>
    </border>
    <border>
      <left style="thin">
        <color rgb="FFC4BE98"/>
      </left>
      <right style="thin">
        <color rgb="FFC4BE98"/>
      </right>
      <top style="thin">
        <color rgb="FFC4BE98"/>
      </top>
      <bottom style="double">
        <color rgb="FFC4BE98"/>
      </bottom>
      <diagonal/>
    </border>
    <border>
      <left/>
      <right style="thin">
        <color rgb="FFC4BE98"/>
      </right>
      <top style="thin">
        <color rgb="FFC4BE98"/>
      </top>
      <bottom style="double">
        <color rgb="FFC4BE98"/>
      </bottom>
      <diagonal/>
    </border>
    <border>
      <left style="thin">
        <color rgb="FFC4BE98"/>
      </left>
      <right style="thin">
        <color rgb="FFC4BE98"/>
      </right>
      <top style="double">
        <color rgb="FFC4BE98"/>
      </top>
      <bottom style="double">
        <color rgb="FFC4BE98"/>
      </bottom>
      <diagonal/>
    </border>
    <border>
      <left/>
      <right style="thin">
        <color rgb="FFC4BE98"/>
      </right>
      <top style="double">
        <color rgb="FFC4BE98"/>
      </top>
      <bottom style="double">
        <color rgb="FFC4BE98"/>
      </bottom>
      <diagonal/>
    </border>
    <border>
      <left/>
      <right/>
      <top style="thin">
        <color rgb="FFC4BE98"/>
      </top>
      <bottom style="thin">
        <color rgb="FFC4BE98"/>
      </bottom>
      <diagonal/>
    </border>
    <border>
      <left/>
      <right style="thin">
        <color rgb="FFC4BE98"/>
      </right>
      <top style="thin">
        <color rgb="FFC4BE98"/>
      </top>
      <bottom style="thin">
        <color rgb="FFC4BE98"/>
      </bottom>
      <diagonal/>
    </border>
    <border>
      <left style="thin">
        <color rgb="FFC4BE98"/>
      </left>
      <right/>
      <top style="thin">
        <color rgb="FFC4BE98"/>
      </top>
      <bottom style="thin">
        <color rgb="FFC4BE98"/>
      </bottom>
      <diagonal/>
    </border>
  </borders>
  <cellStyleXfs count="1">
    <xf numFmtId="0" fontId="0" fillId="0" borderId="0"/>
  </cellStyleXfs>
  <cellXfs count="400">
    <xf xfId="0" fontId="0" numFmtId="0" fillId="0" borderId="0" applyFont="0" applyNumberFormat="0" applyFill="0" applyBorder="0" applyAlignment="1">
      <alignment vertical="center" textRotation="0" wrapText="false" shrinkToFit="false"/>
    </xf>
    <xf xfId="0" fontId="1" numFmtId="0" fillId="0" borderId="1"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0" numFmtId="0" fillId="0" borderId="1" applyFont="0" applyNumberFormat="0" applyFill="0" applyBorder="1" applyAlignment="1">
      <alignment vertical="center" textRotation="0" wrapText="false" shrinkToFit="false"/>
    </xf>
    <xf xfId="0" fontId="0" numFmtId="0" fillId="0" borderId="2" applyFont="0" applyNumberFormat="0" applyFill="0" applyBorder="1" applyAlignment="1">
      <alignment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0" numFmtId="0" fillId="0" borderId="3"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false" shrinkToFit="false"/>
    </xf>
    <xf xfId="0" fontId="0" numFmtId="0" fillId="0" borderId="5" applyFont="0" applyNumberFormat="0" applyFill="0" applyBorder="1" applyAlignment="1">
      <alignment vertical="center" textRotation="0" wrapText="false" shrinkToFit="false"/>
    </xf>
    <xf xfId="0" fontId="2" numFmtId="0" fillId="0" borderId="6" applyFont="1" applyNumberFormat="0" applyFill="0" applyBorder="1" applyAlignment="1">
      <alignment horizontal="right" vertical="center" textRotation="0" wrapText="true" shrinkToFit="false"/>
    </xf>
    <xf xfId="0" fontId="3" numFmtId="0" fillId="0" borderId="7" applyFont="1" applyNumberFormat="0" applyFill="0" applyBorder="1" applyAlignment="1">
      <alignment horizontal="right" vertical="center" textRotation="0" wrapText="false" shrinkToFit="false"/>
    </xf>
    <xf xfId="0" fontId="4" numFmtId="0" fillId="0" borderId="6" applyFont="1" applyNumberFormat="0" applyFill="0" applyBorder="1" applyAlignment="1">
      <alignment horizontal="right" vertical="center" textRotation="0" wrapText="false" shrinkToFit="true"/>
    </xf>
    <xf xfId="0" fontId="4" numFmtId="0" fillId="0" borderId="6" applyFont="1" applyNumberFormat="0" applyFill="0" applyBorder="1" applyAlignment="1">
      <alignment vertical="center" textRotation="0" wrapText="false" shrinkToFit="true"/>
    </xf>
    <xf xfId="0" fontId="0" numFmtId="0" fillId="0" borderId="6" applyFont="0" applyNumberFormat="0" applyFill="0" applyBorder="1" applyAlignment="1">
      <alignment vertical="center" textRotation="0" wrapText="false" shrinkToFit="true"/>
    </xf>
    <xf xfId="0" fontId="0" numFmtId="0" fillId="0" borderId="8" applyFont="0" applyNumberFormat="0" applyFill="0" applyBorder="1" applyAlignment="1">
      <alignment vertical="center" textRotation="0" wrapText="false" shrinkToFit="true"/>
    </xf>
    <xf xfId="0" fontId="5" numFmtId="0" fillId="0" borderId="9" applyFont="1" applyNumberFormat="0" applyFill="0" applyBorder="1" applyAlignment="1">
      <alignment horizontal="right" vertical="center" textRotation="0" wrapText="false" shrinkToFit="false"/>
    </xf>
    <xf xfId="0" fontId="4" numFmtId="0" fillId="0" borderId="4" applyFont="1" applyNumberFormat="0" applyFill="0" applyBorder="1"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7" numFmtId="0" fillId="0" borderId="8" applyFont="1" applyNumberFormat="0" applyFill="0" applyBorder="1" applyAlignment="1">
      <alignment horizontal="center" vertical="center" textRotation="0" wrapText="false" shrinkToFit="false"/>
    </xf>
    <xf xfId="0" fontId="8" numFmtId="0" fillId="0" borderId="10" applyFont="1" applyNumberFormat="0" applyFill="0" applyBorder="1" applyAlignment="1">
      <alignment horizontal="center" vertical="center" textRotation="0" wrapText="false" shrinkToFit="false"/>
    </xf>
    <xf xfId="0" fontId="8" numFmtId="0" fillId="0" borderId="11" applyFont="1" applyNumberFormat="0" applyFill="0" applyBorder="1" applyAlignment="1">
      <alignment horizontal="center" vertical="center" textRotation="0" wrapText="false" shrinkToFit="false"/>
    </xf>
    <xf xfId="0" fontId="9" numFmtId="0" fillId="0" borderId="8" applyFont="1" applyNumberFormat="0" applyFill="0" applyBorder="1" applyAlignment="1">
      <alignment vertical="center" textRotation="0" wrapText="false" shrinkToFit="false"/>
    </xf>
    <xf xfId="0" fontId="10" numFmtId="164" fillId="0" borderId="0" applyFont="1" applyNumberFormat="1" applyFill="0" applyBorder="0" applyAlignment="1">
      <alignment vertical="center" textRotation="0" wrapText="false" shrinkToFit="false"/>
    </xf>
    <xf xfId="0" fontId="11" numFmtId="3" fillId="0" borderId="8" applyFont="1" applyNumberFormat="1" applyFill="0" applyBorder="1" applyAlignment="1">
      <alignment horizontal="right" vertical="center" textRotation="0" wrapText="false" shrinkToFit="false"/>
    </xf>
    <xf xfId="0" fontId="12" numFmtId="0" fillId="0" borderId="8" applyFont="1" applyNumberFormat="0" applyFill="0" applyBorder="1" applyAlignment="1">
      <alignment vertical="center" textRotation="0" wrapText="false" shrinkToFit="false"/>
    </xf>
    <xf xfId="0" fontId="13" numFmtId="0" fillId="0" borderId="8" applyFont="1" applyNumberFormat="0" applyFill="0" applyBorder="1" applyAlignment="1">
      <alignment vertical="center" textRotation="0" wrapText="false" shrinkToFit="false"/>
    </xf>
    <xf xfId="0" fontId="14" numFmtId="0" fillId="0" borderId="12" applyFont="1" applyNumberFormat="0" applyFill="0" applyBorder="1" applyAlignment="1">
      <alignment vertical="center" textRotation="0" wrapText="false" shrinkToFit="false"/>
    </xf>
    <xf xfId="0" fontId="14" numFmtId="0" fillId="0" borderId="1" applyFont="1" applyNumberFormat="0" applyFill="0" applyBorder="1" applyAlignment="1">
      <alignment horizontal="left" vertical="center" textRotation="0" wrapText="false" shrinkToFit="false"/>
    </xf>
    <xf xfId="0" fontId="14" numFmtId="0" fillId="0" borderId="2" applyFont="1" applyNumberFormat="0" applyFill="0" applyBorder="1" applyAlignment="1">
      <alignment vertical="center" textRotation="0" wrapText="false" shrinkToFit="false"/>
    </xf>
    <xf xfId="0" fontId="15" numFmtId="0" fillId="0" borderId="1" applyFont="1" applyNumberFormat="0" applyFill="0" applyBorder="1" applyAlignment="1">
      <alignment vertical="center" textRotation="0" wrapText="false" shrinkToFit="false"/>
    </xf>
    <xf xfId="0" fontId="15" numFmtId="0" fillId="0" borderId="0" applyFont="1" applyNumberFormat="0" applyFill="0" applyBorder="0" applyAlignment="1">
      <alignment vertical="center" textRotation="0" wrapText="false" shrinkToFit="false"/>
    </xf>
    <xf xfId="0" fontId="15" numFmtId="0" fillId="0" borderId="2" applyFont="1" applyNumberFormat="0" applyFill="0" applyBorder="1" applyAlignment="1">
      <alignment vertical="center" textRotation="0" wrapText="false" shrinkToFit="false"/>
    </xf>
    <xf xfId="0" fontId="15" numFmtId="0" fillId="0" borderId="3" applyFont="1" applyNumberFormat="0" applyFill="0" applyBorder="1" applyAlignment="1">
      <alignment vertical="center" textRotation="0" wrapText="false" shrinkToFit="false"/>
    </xf>
    <xf xfId="0" fontId="15" numFmtId="0" fillId="0" borderId="4" applyFont="1" applyNumberFormat="0" applyFill="0" applyBorder="1" applyAlignment="1">
      <alignment vertical="center" textRotation="0" wrapText="false" shrinkToFit="false"/>
    </xf>
    <xf xfId="0" fontId="15" numFmtId="0" fillId="0" borderId="5" applyFont="1" applyNumberFormat="0" applyFill="0" applyBorder="1" applyAlignment="1">
      <alignment vertical="center" textRotation="0" wrapText="false" shrinkToFit="false"/>
    </xf>
    <xf xfId="0" fontId="16" numFmtId="0" fillId="2" borderId="8" applyFont="1" applyNumberFormat="0" applyFill="1" applyBorder="1" applyAlignment="1">
      <alignment horizontal="right" vertical="center" textRotation="0" wrapText="false" shrinkToFit="false"/>
    </xf>
    <xf xfId="0" fontId="17" numFmtId="0" fillId="2" borderId="8" applyFont="1" applyNumberFormat="0" applyFill="1" applyBorder="1" applyAlignment="1">
      <alignment horizontal="center" vertical="center" textRotation="0" wrapText="false" shrinkToFit="false"/>
    </xf>
    <xf xfId="0" fontId="0" numFmtId="0" fillId="3" borderId="0" applyFont="0" applyNumberFormat="0" applyFill="1" applyBorder="0" applyAlignment="1">
      <alignment vertical="center" textRotation="0" wrapText="false" shrinkToFit="false"/>
    </xf>
    <xf xfId="0" fontId="18" numFmtId="0" fillId="3" borderId="0" applyFont="1" applyNumberFormat="0" applyFill="1" applyBorder="0" applyAlignment="1">
      <alignment vertical="bottom" textRotation="0" wrapText="false" shrinkToFit="false"/>
    </xf>
    <xf xfId="0" fontId="19" numFmtId="0" fillId="3" borderId="0" applyFont="1" applyNumberFormat="0" applyFill="1" applyBorder="0" applyAlignment="1">
      <alignment horizontal="left" vertical="center" textRotation="0" wrapText="true" shrinkToFit="false"/>
    </xf>
    <xf xfId="0" fontId="20" numFmtId="0" fillId="0" borderId="13" applyFont="1" applyNumberFormat="0" applyFill="0" applyBorder="1" applyAlignment="1">
      <alignment horizontal="center" vertical="center" textRotation="0" wrapText="true" shrinkToFit="false"/>
    </xf>
    <xf xfId="0" fontId="21" numFmtId="0" fillId="4" borderId="13" applyFont="1" applyNumberFormat="0" applyFill="1" applyBorder="1" applyAlignment="1">
      <alignment horizontal="center" vertical="center" textRotation="0" wrapText="false" shrinkToFit="false"/>
    </xf>
    <xf xfId="0" fontId="22" numFmtId="0" fillId="0" borderId="0" applyFont="1" applyNumberFormat="0" applyFill="0" applyBorder="0" applyAlignment="1">
      <alignment horizontal="right" vertical="bottom" textRotation="0" wrapText="false" shrinkToFit="false"/>
    </xf>
    <xf xfId="0" fontId="21" numFmtId="0" fillId="0" borderId="0" applyFont="1" applyNumberFormat="0" applyFill="0" applyBorder="0" applyAlignment="1">
      <alignment horizontal="right" vertical="center" textRotation="0" wrapText="false" shrinkToFit="false" indent="1"/>
    </xf>
    <xf xfId="0" fontId="23" numFmtId="0" fillId="0" borderId="0" applyFont="1" applyNumberFormat="0" applyFill="0" applyBorder="0" applyAlignment="1">
      <alignment horizontal="center" vertical="center" textRotation="0" wrapText="false" shrinkToFit="false"/>
    </xf>
    <xf xfId="0" fontId="20" numFmtId="0" fillId="0" borderId="0" applyFont="1" applyNumberFormat="0" applyFill="0" applyBorder="0" applyAlignment="1">
      <alignment horizontal="right" vertical="center" textRotation="0" wrapText="false" shrinkToFit="false" indent="1"/>
    </xf>
    <xf xfId="0" fontId="24" numFmtId="0" fillId="0" borderId="0" applyFont="1" applyNumberFormat="0" applyFill="0" applyBorder="0" applyAlignment="1">
      <alignment vertical="center" textRotation="0" wrapText="true" shrinkToFit="false"/>
    </xf>
    <xf xfId="0" fontId="22" numFmtId="0" fillId="5" borderId="0" applyFont="1" applyNumberFormat="0" applyFill="1" applyBorder="0" applyAlignment="1">
      <alignment horizontal="left" vertical="center" textRotation="0" wrapText="false" shrinkToFit="false" indent="1"/>
    </xf>
    <xf xfId="0" fontId="21" numFmtId="0" fillId="6" borderId="13" applyFont="1" applyNumberFormat="0" applyFill="1" applyBorder="1" applyAlignment="1">
      <alignment horizontal="right" vertical="center" textRotation="0" wrapText="false" shrinkToFit="false" indent="1"/>
    </xf>
    <xf xfId="0" fontId="21" numFmtId="14" fillId="6" borderId="13" applyFont="1" applyNumberFormat="1" applyFill="1" applyBorder="1" applyAlignment="1">
      <alignment horizontal="right" vertical="center" textRotation="0" wrapText="false" shrinkToFit="false" indent="1"/>
    </xf>
    <xf xfId="0" fontId="0" numFmtId="0" fillId="0" borderId="0" applyFont="0" applyNumberFormat="0" applyFill="0" applyBorder="0" applyAlignment="1">
      <alignment horizontal="left" vertical="center" textRotation="0" wrapText="false" shrinkToFit="false" indent="1"/>
    </xf>
    <xf xfId="0" fontId="22" numFmtId="0" fillId="0" borderId="0" applyFont="1" applyNumberFormat="0" applyFill="0" applyBorder="0" applyAlignment="1">
      <alignment horizontal="left" vertical="bottom" textRotation="0" wrapText="false" shrinkToFit="false" indent="1"/>
    </xf>
    <xf xfId="0" fontId="25" numFmtId="165" fillId="0" borderId="2" applyFont="1" applyNumberFormat="1" applyFill="0" applyBorder="1" applyAlignment="1">
      <alignment horizontal="center" vertical="center" textRotation="0" wrapText="true" shrinkToFit="false"/>
    </xf>
    <xf xfId="0" fontId="17" numFmtId="0" fillId="2" borderId="8" applyFont="1" applyNumberFormat="0" applyFill="1" applyBorder="1" applyAlignment="1">
      <alignment horizontal="center" vertical="center" textRotation="0" wrapText="true" shrinkToFit="false"/>
    </xf>
    <xf xfId="0" fontId="1" numFmtId="0" fillId="0" borderId="9" applyFont="1" applyNumberFormat="0" applyFill="0" applyBorder="1" applyAlignment="1">
      <alignment horizontal="left" vertical="distributed" textRotation="0" wrapText="false" shrinkToFit="false"/>
    </xf>
    <xf xfId="0" fontId="26" numFmtId="0" fillId="0" borderId="9" applyFont="1" applyNumberFormat="0" applyFill="0" applyBorder="1" applyAlignment="1">
      <alignment horizontal="left" vertical="distributed" textRotation="0" wrapText="false" shrinkToFit="false"/>
    </xf>
    <xf xfId="0" fontId="27" numFmtId="0" fillId="0" borderId="9" applyFont="1" applyNumberFormat="0" applyFill="0" applyBorder="1" applyAlignment="1">
      <alignment horizontal="left" vertical="distributed" textRotation="0" wrapText="false" shrinkToFit="false"/>
    </xf>
    <xf xfId="0" fontId="1" numFmtId="0" fillId="0" borderId="3" applyFont="1" applyNumberFormat="0" applyFill="0" applyBorder="1" applyAlignment="1">
      <alignment vertical="center" textRotation="0" wrapText="false" shrinkToFit="false"/>
    </xf>
    <xf xfId="0" fontId="28" numFmtId="0" fillId="0" borderId="0" applyFont="1" applyNumberFormat="0" applyFill="0" applyBorder="0" applyAlignment="1">
      <alignment vertical="center" textRotation="0" wrapText="true" shrinkToFit="false"/>
    </xf>
    <xf xfId="0" fontId="29" numFmtId="0" fillId="0" borderId="14" applyFont="1" applyNumberFormat="0" applyFill="0" applyBorder="1" applyAlignment="1">
      <alignment vertical="center" textRotation="0" wrapText="true" shrinkToFit="false"/>
    </xf>
    <xf xfId="0" fontId="29" numFmtId="0" fillId="0" borderId="8" applyFont="1" applyNumberFormat="0" applyFill="0" applyBorder="1" applyAlignment="1">
      <alignment vertical="center" textRotation="0" wrapText="true" shrinkToFit="false"/>
    </xf>
    <xf xfId="0" fontId="29" numFmtId="0" fillId="0" borderId="7" applyFont="1" applyNumberFormat="0" applyFill="0" applyBorder="1" applyAlignment="1">
      <alignment vertical="center" textRotation="0" wrapText="true" shrinkToFit="false"/>
    </xf>
    <xf xfId="0" fontId="29" numFmtId="0" fillId="0" borderId="7" applyFont="1" applyNumberFormat="0" applyFill="0" applyBorder="1" applyAlignment="1">
      <alignment vertical="center" textRotation="0" wrapText="true" shrinkToFit="false"/>
    </xf>
    <xf xfId="0" fontId="29" numFmtId="0" fillId="0" borderId="14" applyFont="1" applyNumberFormat="0" applyFill="0" applyBorder="1" applyAlignment="1">
      <alignment vertical="center" textRotation="0" wrapText="true" shrinkToFit="false"/>
    </xf>
    <xf xfId="0" fontId="28" numFmtId="0" fillId="0" borderId="7" applyFont="1" applyNumberFormat="0" applyFill="0" applyBorder="1" applyAlignment="1">
      <alignment horizontal="center" vertical="center" textRotation="0" wrapText="true" shrinkToFit="false"/>
    </xf>
    <xf xfId="0" fontId="28" numFmtId="0" fillId="0" borderId="7" applyFont="1" applyNumberFormat="0" applyFill="0" applyBorder="1" applyAlignment="1">
      <alignment horizontal="center" vertical="center" textRotation="0" wrapText="true" shrinkToFit="false"/>
    </xf>
    <xf xfId="0" fontId="30" numFmtId="0" fillId="0" borderId="7" applyFont="1" applyNumberFormat="0" applyFill="0" applyBorder="1" applyAlignment="1">
      <alignment vertical="center" textRotation="0" wrapText="true" shrinkToFit="false"/>
    </xf>
    <xf xfId="0" fontId="0" numFmtId="0" fillId="0" borderId="15" applyFont="0" applyNumberFormat="0" applyFill="0" applyBorder="1" applyAlignment="1">
      <alignment vertical="center" textRotation="0" wrapText="false" shrinkToFit="true"/>
    </xf>
    <xf xfId="0" fontId="31" numFmtId="0" fillId="0" borderId="0" applyFont="1" applyNumberFormat="0" applyFill="0" applyBorder="0" applyAlignment="1">
      <alignment vertical="center" textRotation="0" wrapText="false" shrinkToFit="false"/>
    </xf>
    <xf xfId="0" fontId="31" numFmtId="0" fillId="0" borderId="0" applyFont="1" applyNumberFormat="0" applyFill="0" applyBorder="0" applyAlignment="1">
      <alignment horizontal="right" vertical="center" textRotation="0" wrapText="false" shrinkToFit="false"/>
    </xf>
    <xf xfId="0" fontId="32" numFmtId="0" fillId="0" borderId="0" applyFont="1" applyNumberFormat="0" applyFill="0" applyBorder="0" applyAlignment="1">
      <alignment vertical="center" textRotation="0" wrapText="false" shrinkToFit="false"/>
    </xf>
    <xf xfId="0" fontId="33" numFmtId="0" fillId="0" borderId="0" applyFont="1" applyNumberFormat="0" applyFill="0" applyBorder="0" applyAlignment="1">
      <alignment vertical="center" textRotation="0" wrapText="false" shrinkToFit="false"/>
    </xf>
    <xf xfId="0" fontId="34" numFmtId="0" fillId="0" borderId="9" applyFont="1" applyNumberFormat="0" applyFill="0" applyBorder="1" applyAlignment="1">
      <alignment horizontal="righ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35" numFmtId="0" fillId="0" borderId="0" applyFont="1" applyNumberFormat="0" applyFill="0" applyBorder="0" applyAlignment="1">
      <alignment vertical="center" textRotation="0" wrapText="false" shrinkToFit="false"/>
    </xf>
    <xf xfId="0" fontId="0" numFmtId="0" fillId="0" borderId="0" applyFont="0" applyNumberFormat="0" applyFill="0" applyBorder="0" applyAlignment="1">
      <alignment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36" numFmtId="0" fillId="0" borderId="4" applyFont="1" applyNumberFormat="0" applyFill="0" applyBorder="1" applyAlignment="1">
      <alignment horizontal="center" vertical="center" textRotation="0" wrapText="true" shrinkToFit="false"/>
    </xf>
    <xf xfId="0" fontId="37" numFmtId="0" fillId="0" borderId="16" applyFont="1" applyNumberFormat="0" applyFill="0" applyBorder="1" applyAlignment="1">
      <alignment vertical="bottom" textRotation="0" wrapText="false" shrinkToFit="false"/>
    </xf>
    <xf xfId="0" fontId="37" numFmtId="0" fillId="0" borderId="16" applyFont="1" applyNumberFormat="0" applyFill="0" applyBorder="1" applyAlignment="1">
      <alignment vertical="center" textRotation="0" wrapText="false" shrinkToFit="false"/>
    </xf>
    <xf xfId="0" fontId="37" numFmtId="0" fillId="0" borderId="0" applyFont="1" applyNumberFormat="0" applyFill="0" applyBorder="0" applyAlignment="1">
      <alignment vertical="bottom" textRotation="0" wrapText="false" shrinkToFit="false"/>
    </xf>
    <xf xfId="0" fontId="37" numFmtId="0" fillId="0" borderId="0" applyFont="1" applyNumberFormat="0" applyFill="0" applyBorder="0" applyAlignment="1">
      <alignment vertical="center" textRotation="0" wrapText="false" shrinkToFit="false"/>
    </xf>
    <xf xfId="0" fontId="1" numFmtId="0" fillId="0" borderId="17" applyFont="1" applyNumberFormat="0" applyFill="0" applyBorder="1" applyAlignment="1">
      <alignment vertical="center" textRotation="0" wrapText="false" shrinkToFit="false"/>
    </xf>
    <xf xfId="0" fontId="1" numFmtId="0" fillId="0" borderId="17" applyFont="1" applyNumberFormat="0" applyFill="0" applyBorder="1" applyAlignment="1">
      <alignment horizontal="center" vertical="center" textRotation="0" wrapText="false" shrinkToFit="false"/>
    </xf>
    <xf xfId="0" fontId="0" numFmtId="0" fillId="0" borderId="4" applyFont="0" applyNumberFormat="0" applyFill="0" applyBorder="1" applyAlignment="1">
      <alignment horizontal="center" vertical="center" textRotation="0" wrapText="false" shrinkToFit="false"/>
    </xf>
    <xf xfId="0" fontId="0" numFmtId="0" fillId="0" borderId="4" applyFont="0" applyNumberFormat="0" applyFill="0" applyBorder="1" applyAlignment="1">
      <alignment vertical="center" textRotation="0" wrapText="false" shrinkToFit="false"/>
    </xf>
    <xf xfId="0" fontId="35" numFmtId="0" fillId="0" borderId="0" applyFont="1" applyNumberFormat="0" applyFill="0" applyBorder="0" applyAlignment="1">
      <alignment vertical="center" textRotation="0" wrapText="false" shrinkToFit="false"/>
    </xf>
    <xf xfId="0" fontId="35" numFmtId="0" fillId="0" borderId="0" applyFont="1" applyNumberFormat="0" applyFill="0" applyBorder="0" applyAlignment="1">
      <alignment vertical="center" textRotation="0" wrapText="false" shrinkToFit="false"/>
    </xf>
    <xf xfId="0" fontId="36" numFmtId="0" fillId="0" borderId="4" applyFont="1" applyNumberFormat="0" applyFill="0" applyBorder="1" applyAlignment="1">
      <alignment vertical="center" textRotation="0" wrapText="false" shrinkToFit="false"/>
    </xf>
    <xf xfId="0" fontId="36" numFmtId="0" fillId="0" borderId="4" applyFont="1" applyNumberFormat="0" applyFill="0" applyBorder="1" applyAlignment="1">
      <alignment horizontal="left" vertical="center" textRotation="0" wrapText="false" shrinkToFit="false"/>
    </xf>
    <xf xfId="0" fontId="37" numFmtId="0" fillId="7" borderId="17" applyFont="1" applyNumberFormat="0" applyFill="1" applyBorder="1" applyAlignment="1">
      <alignment horizontal="center" vertical="center" textRotation="0" wrapText="false" shrinkToFit="false"/>
    </xf>
    <xf xfId="0" fontId="38" numFmtId="0" fillId="7" borderId="17" applyFont="1" applyNumberFormat="0" applyFill="1" applyBorder="1" applyAlignment="1">
      <alignment vertical="center" textRotation="0" wrapText="false" shrinkToFit="false"/>
    </xf>
    <xf xfId="0" fontId="36" numFmtId="0" fillId="0" borderId="18" applyFont="1" applyNumberFormat="0" applyFill="0" applyBorder="1" applyAlignment="1">
      <alignment vertical="center" textRotation="0" wrapText="false" shrinkToFit="false"/>
    </xf>
    <xf xfId="0" fontId="36" numFmtId="0" fillId="0" borderId="19" applyFont="1" applyNumberFormat="0" applyFill="0" applyBorder="1" applyAlignment="1">
      <alignment vertical="center" textRotation="0" wrapText="false" shrinkToFit="false"/>
    </xf>
    <xf xfId="0" fontId="36" numFmtId="0" fillId="0" borderId="19" applyFont="1" applyNumberFormat="0" applyFill="0" applyBorder="1" applyAlignment="1">
      <alignment horizontal="center" vertical="center" textRotation="0" wrapText="true" shrinkToFit="false"/>
    </xf>
    <xf xfId="0" fontId="36" numFmtId="0" fillId="0" borderId="19" applyFont="1" applyNumberFormat="0" applyFill="0" applyBorder="1" applyAlignment="1">
      <alignment horizontal="left" vertical="center" textRotation="0" wrapText="false" shrinkToFit="false"/>
    </xf>
    <xf xfId="0" fontId="35" numFmtId="0" fillId="0" borderId="20" applyFont="1" applyNumberFormat="0" applyFill="0" applyBorder="1" applyAlignment="1">
      <alignment vertical="center" textRotation="0" wrapText="false" shrinkToFit="false"/>
    </xf>
    <xf xfId="0" fontId="35" numFmtId="0" fillId="0" borderId="21" applyFont="1" applyNumberFormat="0" applyFill="0" applyBorder="1" applyAlignment="1">
      <alignment vertical="center" textRotation="0" wrapText="false" shrinkToFit="false"/>
    </xf>
    <xf xfId="0" fontId="39" numFmtId="0" fillId="0" borderId="0" applyFont="1" applyNumberFormat="0" applyFill="0" applyBorder="0" applyAlignment="1">
      <alignment vertical="center" textRotation="0" wrapText="false" shrinkToFit="false"/>
    </xf>
    <xf xfId="0" fontId="39" numFmtId="0" fillId="0" borderId="8" applyFont="1" applyNumberFormat="0" applyFill="0" applyBorder="1" applyAlignment="1">
      <alignment horizontal="left" vertical="center" textRotation="0" wrapText="false" shrinkToFit="false" indent="1"/>
    </xf>
    <xf xfId="0" fontId="39" numFmtId="14" fillId="0" borderId="8" applyFont="1" applyNumberFormat="1" applyFill="0" applyBorder="1" applyAlignment="1">
      <alignment horizontal="left" vertical="center" textRotation="0" wrapText="false" shrinkToFit="false" indent="1"/>
    </xf>
    <xf xfId="0" fontId="39" numFmtId="0" fillId="8" borderId="8" applyFont="1" applyNumberFormat="0" applyFill="1" applyBorder="1" applyAlignment="1">
      <alignment horizontal="center" vertical="center" textRotation="0" wrapText="false" shrinkToFit="false"/>
    </xf>
    <xf xfId="0" fontId="39" numFmtId="0" fillId="9" borderId="8" applyFont="1" applyNumberFormat="0" applyFill="1" applyBorder="1" applyAlignment="1">
      <alignment horizontal="center" vertical="center" textRotation="0" wrapText="false" shrinkToFit="false"/>
    </xf>
    <xf xfId="0" fontId="11" numFmtId="0" fillId="9" borderId="8" applyFont="1" applyNumberFormat="0" applyFill="1" applyBorder="1" applyAlignment="1">
      <alignment horizontal="center" vertical="center" textRotation="0" wrapText="false" shrinkToFit="false"/>
    </xf>
    <xf xfId="0" fontId="39" numFmtId="0" fillId="7" borderId="8" applyFont="1" applyNumberFormat="0" applyFill="1" applyBorder="1" applyAlignment="1">
      <alignment horizontal="center" vertical="center" textRotation="0" wrapText="false" shrinkToFit="false"/>
    </xf>
    <xf xfId="0" fontId="9" numFmtId="0" fillId="0" borderId="8" applyFont="1" applyNumberFormat="0" applyFill="0" applyBorder="1" applyAlignment="1">
      <alignment vertical="center" textRotation="0" wrapText="false" shrinkToFit="true"/>
    </xf>
    <xf xfId="0" fontId="40" numFmtId="0" fillId="0" borderId="0" applyFont="1" applyNumberFormat="0" applyFill="0" applyBorder="0" applyAlignment="1">
      <alignment vertical="center" textRotation="0" wrapText="false" shrinkToFit="false"/>
    </xf>
    <xf xfId="0" fontId="40" numFmtId="0" fillId="0" borderId="0" applyFont="1" applyNumberFormat="0" applyFill="0" applyBorder="0" applyAlignment="1">
      <alignment vertical="center" textRotation="0" wrapText="true" shrinkToFit="false"/>
    </xf>
    <xf xfId="0" fontId="41" numFmtId="0" fillId="0" borderId="10" applyFont="1" applyNumberFormat="0" applyFill="0" applyBorder="1" applyAlignment="1">
      <alignment horizontal="center" vertical="center" textRotation="0" wrapText="false" shrinkToFit="false"/>
    </xf>
    <xf xfId="0" fontId="39" numFmtId="164" fillId="8" borderId="8" applyFont="1" applyNumberFormat="1" applyFill="1" applyBorder="1" applyAlignment="1">
      <alignment horizontal="left" vertical="center" textRotation="0" wrapText="false" shrinkToFit="false" indent="1"/>
    </xf>
    <xf xfId="0" fontId="39" numFmtId="49" fillId="10" borderId="8" applyFont="1" applyNumberFormat="1" applyFill="1" applyBorder="1" applyAlignment="1">
      <alignment horizontal="left" vertical="center" textRotation="0" wrapText="false" shrinkToFit="false" indent="1"/>
    </xf>
    <xf xfId="0" fontId="39" numFmtId="0" fillId="10" borderId="8" applyFont="1" applyNumberFormat="0" applyFill="1" applyBorder="1" applyAlignment="1">
      <alignment horizontal="left" vertical="center" textRotation="0" wrapText="false" shrinkToFit="false" indent="1"/>
    </xf>
    <xf xfId="0" fontId="39" numFmtId="0" fillId="10" borderId="8" applyFont="1" applyNumberFormat="0" applyFill="1" applyBorder="1" applyAlignment="1">
      <alignment horizontal="left" vertical="center" textRotation="0" wrapText="true" shrinkToFit="true" indent="1"/>
    </xf>
    <xf xfId="0" fontId="39" numFmtId="14" fillId="10" borderId="8" applyFont="1" applyNumberFormat="1" applyFill="1" applyBorder="1" applyAlignment="1">
      <alignment horizontal="left" vertical="center" textRotation="0" wrapText="false" shrinkToFit="false" indent="1"/>
    </xf>
    <xf xfId="0" fontId="39" numFmtId="0" fillId="10" borderId="8" applyFont="1" applyNumberFormat="0" applyFill="1" applyBorder="1" applyAlignment="1">
      <alignment horizontal="left" vertical="center" textRotation="0" wrapText="false" shrinkToFit="true" indent="1"/>
    </xf>
    <xf xfId="0" fontId="39" numFmtId="49" fillId="10" borderId="8" applyFont="1" applyNumberFormat="1" applyFill="1" applyBorder="1" applyAlignment="1">
      <alignment horizontal="left" vertical="center" textRotation="0" wrapText="true" shrinkToFit="false" indent="1"/>
    </xf>
    <xf xfId="0" fontId="39" numFmtId="0" fillId="10" borderId="8" applyFont="1" applyNumberFormat="0" applyFill="1" applyBorder="1" applyAlignment="1">
      <alignment horizontal="left" vertical="center" textRotation="0" wrapText="true" shrinkToFit="false" indent="1"/>
    </xf>
    <xf xfId="0" fontId="39" quotePrefix="1" numFmtId="49" fillId="10" borderId="8" applyFont="1" applyNumberFormat="1" applyFill="1" applyBorder="1" applyAlignment="1">
      <alignment horizontal="left" vertical="center" textRotation="0" wrapText="false" shrinkToFit="false" indent="1"/>
    </xf>
    <xf xfId="0" fontId="3" numFmtId="0" fillId="11" borderId="7" applyFont="1" applyNumberFormat="0" applyFill="1" applyBorder="1" applyAlignment="1">
      <alignment horizontal="right" vertical="center" textRotation="0" wrapText="false" shrinkToFit="false"/>
    </xf>
    <xf xfId="0" fontId="4" numFmtId="14" fillId="11" borderId="6" applyFont="1" applyNumberFormat="1" applyFill="1" applyBorder="1" applyAlignment="1">
      <alignment horizontal="right" vertical="center" textRotation="0" wrapText="false" shrinkToFit="true"/>
    </xf>
    <xf xfId="0" fontId="5" numFmtId="0" fillId="11" borderId="6" applyFont="1" applyNumberFormat="0" applyFill="1" applyBorder="1" applyAlignment="1">
      <alignment horizontal="right" vertical="center" textRotation="0" wrapText="false" shrinkToFit="true"/>
    </xf>
    <xf xfId="0" fontId="8" numFmtId="166" fillId="11" borderId="22" applyFont="1" applyNumberFormat="1" applyFill="1" applyBorder="1" applyAlignment="1">
      <alignment horizontal="center" vertical="center" textRotation="0" wrapText="false" shrinkToFit="true"/>
    </xf>
    <xf xfId="0" fontId="7" numFmtId="0" fillId="11" borderId="15" applyFont="1" applyNumberFormat="0" applyFill="1" applyBorder="1" applyAlignment="1">
      <alignment horizontal="center" vertical="center" textRotation="0" wrapText="false" shrinkToFit="false"/>
    </xf>
    <xf xfId="0" fontId="8" numFmtId="0" fillId="11" borderId="23" applyFont="1" applyNumberFormat="0" applyFill="1" applyBorder="1" applyAlignment="1">
      <alignment horizontal="center" vertical="center" textRotation="0" wrapText="false" shrinkToFit="false"/>
    </xf>
    <xf xfId="0" fontId="11" numFmtId="167" fillId="11" borderId="15" applyFont="1" applyNumberFormat="1" applyFill="1" applyBorder="1" applyAlignment="1">
      <alignment horizontal="right" vertical="center" textRotation="0" wrapText="false" shrinkToFit="false"/>
    </xf>
    <xf xfId="0" fontId="11" numFmtId="167" fillId="11" borderId="15" applyFont="1" applyNumberFormat="1" applyFill="1" applyBorder="1" applyAlignment="1">
      <alignment vertical="center" textRotation="0" wrapText="false" shrinkToFit="false"/>
    </xf>
    <xf xfId="0" fontId="12" numFmtId="0" fillId="11" borderId="24" applyFont="1" applyNumberFormat="0" applyFill="1" applyBorder="1" applyAlignment="1">
      <alignment horizontal="left" vertical="center" textRotation="0" wrapText="false" shrinkToFit="false" indent="1"/>
    </xf>
    <xf xfId="0" fontId="12" numFmtId="0" fillId="11" borderId="2" applyFont="1" applyNumberFormat="0" applyFill="1" applyBorder="1" applyAlignment="1">
      <alignment horizontal="left" vertical="center" textRotation="0" wrapText="false" shrinkToFit="false" indent="1"/>
    </xf>
    <xf xfId="0" fontId="11" numFmtId="3" fillId="11" borderId="15" applyFont="1" applyNumberFormat="1" applyFill="1" applyBorder="1" applyAlignment="1">
      <alignment vertical="center" textRotation="0" wrapText="false" shrinkToFit="false"/>
    </xf>
    <xf xfId="0" fontId="42" numFmtId="0" fillId="11" borderId="0" applyFont="1" applyNumberFormat="0" applyFill="1" applyBorder="0" applyAlignment="1">
      <alignment horizontal="center" vertical="center" textRotation="0" wrapText="false" shrinkToFit="true"/>
    </xf>
    <xf xfId="0" fontId="20" numFmtId="0" fillId="11" borderId="13" applyFont="1" applyNumberFormat="0" applyFill="1" applyBorder="1" applyAlignment="1">
      <alignment horizontal="center" vertical="center" textRotation="0" wrapText="true" shrinkToFit="false"/>
    </xf>
    <xf xfId="0" fontId="20" numFmtId="168" fillId="11" borderId="13" applyFont="1" applyNumberFormat="1" applyFill="1" applyBorder="1" applyAlignment="1">
      <alignment horizontal="center" vertical="center" textRotation="0" wrapText="true" shrinkToFit="false"/>
    </xf>
    <xf xfId="0" fontId="4" numFmtId="0" fillId="11" borderId="7" applyFont="1" applyNumberFormat="0" applyFill="1" applyBorder="1" applyAlignment="1">
      <alignment horizontal="left" vertical="center" textRotation="0" wrapText="false" shrinkToFit="false" indent="1"/>
    </xf>
    <xf xfId="0" fontId="1" numFmtId="0" fillId="0" borderId="7" applyFont="1" applyNumberFormat="0" applyFill="0" applyBorder="1" applyAlignment="1">
      <alignment horizontal="center"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1" numFmtId="0" fillId="0" borderId="9" applyFont="1" applyNumberFormat="0" applyFill="0" applyBorder="1" applyAlignment="1">
      <alignment horizontal="center" vertical="center" textRotation="0" wrapText="false" shrinkToFit="false"/>
    </xf>
    <xf xfId="0" fontId="2" numFmtId="0" fillId="0" borderId="7" applyFont="1" applyNumberFormat="0" applyFill="0" applyBorder="1" applyAlignment="1">
      <alignment horizontal="left" vertical="center" textRotation="0" wrapText="true" shrinkToFit="false"/>
    </xf>
    <xf xfId="0" fontId="1" numFmtId="0" fillId="0" borderId="9" applyFont="1" applyNumberFormat="0" applyFill="0" applyBorder="1" applyAlignment="1">
      <alignment horizontal="center" vertical="center" textRotation="0" wrapText="true" shrinkToFit="false"/>
    </xf>
    <xf xfId="0" fontId="3" numFmtId="0" fillId="0" borderId="9" applyFont="1" applyNumberFormat="0" applyFill="0" applyBorder="1" applyAlignment="1">
      <alignment horizontal="center" vertical="center" textRotation="0" wrapText="false" shrinkToFit="false"/>
    </xf>
    <xf xfId="0" fontId="3" numFmtId="49" fillId="11" borderId="7" applyFont="1" applyNumberFormat="1" applyFill="1" applyBorder="1" applyAlignment="1">
      <alignment horizontal="center" vertical="center" textRotation="0" wrapText="false" shrinkToFit="false"/>
    </xf>
    <xf xfId="0" fontId="1" numFmtId="0" fillId="0" borderId="16" applyFont="1" applyNumberFormat="0" applyFill="0" applyBorder="1" applyAlignment="1">
      <alignment horizontal="left" vertical="center" textRotation="0" wrapText="false" shrinkToFit="false"/>
    </xf>
    <xf xfId="0" fontId="1" numFmtId="0" fillId="0" borderId="24" applyFont="1" applyNumberFormat="0" applyFill="0" applyBorder="1" applyAlignment="1">
      <alignment horizontal="left" vertical="center" textRotation="0" wrapText="false" shrinkToFit="false"/>
    </xf>
    <xf xfId="0" fontId="1" numFmtId="0" fillId="0" borderId="5" applyFont="1" applyNumberFormat="0" applyFill="0" applyBorder="1" applyAlignment="1">
      <alignment horizontal="left" vertical="center" textRotation="0" wrapText="false" shrinkToFit="false"/>
    </xf>
    <xf xfId="0" fontId="5" numFmtId="169" fillId="11" borderId="17" applyFont="1" applyNumberFormat="1" applyFill="1" applyBorder="1" applyAlignment="1">
      <alignment horizontal="center" vertical="center" textRotation="0" wrapText="false" shrinkToFit="false"/>
    </xf>
    <xf xfId="0" fontId="3" numFmtId="0" fillId="11" borderId="7" applyFont="1" applyNumberFormat="0" applyFill="1" applyBorder="1" applyAlignment="1">
      <alignment horizontal="center" vertical="center" textRotation="0" wrapText="false" shrinkToFit="true"/>
    </xf>
    <xf xfId="0" fontId="1" numFmtId="0" fillId="0" borderId="4" applyFont="1" applyNumberFormat="0" applyFill="0" applyBorder="1" applyAlignment="1">
      <alignment horizontal="center" vertical="center" textRotation="0" wrapText="false" shrinkToFit="false"/>
    </xf>
    <xf xfId="0" fontId="1" numFmtId="0" fillId="0" borderId="9" applyFont="1" applyNumberFormat="0" applyFill="0" applyBorder="1" applyAlignment="1">
      <alignment horizontal="lef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4" numFmtId="170" fillId="11" borderId="5" applyFont="1" applyNumberFormat="1" applyFill="1" applyBorder="1" applyAlignment="1">
      <alignment horizontal="distributed" vertical="center" textRotation="0" wrapText="false" shrinkToFit="false"/>
    </xf>
    <xf xfId="0" fontId="4" numFmtId="0" fillId="11" borderId="8" applyFont="1" applyNumberFormat="0" applyFill="1" applyBorder="1" applyAlignment="1">
      <alignment horizontal="left" vertical="center" textRotation="0" wrapText="false" shrinkToFit="false" indent="1"/>
    </xf>
    <xf xfId="0" fontId="4" numFmtId="0" fillId="0" borderId="8" applyFont="1" applyNumberFormat="0" applyFill="0" applyBorder="1" applyAlignment="1">
      <alignment horizontal="center" vertical="center" textRotation="0" wrapText="false" shrinkToFit="false"/>
    </xf>
    <xf xfId="0" fontId="43" numFmtId="0" fillId="11" borderId="4" applyFont="1" applyNumberFormat="0" applyFill="1" applyBorder="1" applyAlignment="1">
      <alignment horizontal="center" vertical="center" textRotation="0" wrapText="false" shrinkToFit="false"/>
    </xf>
    <xf xfId="0" fontId="2" numFmtId="0" fillId="0" borderId="2" applyFont="1" applyNumberFormat="0" applyFill="0" applyBorder="1" applyAlignment="1">
      <alignment horizontal="left" vertical="center" textRotation="0" wrapText="false" shrinkToFit="false"/>
    </xf>
    <xf xfId="0" fontId="4" numFmtId="170" fillId="11" borderId="0" applyFont="1" applyNumberFormat="1" applyFill="1" applyBorder="0" applyAlignment="1">
      <alignment horizontal="distributed" vertical="center" textRotation="0" wrapText="false" shrinkToFit="false" indent="4"/>
    </xf>
    <xf xfId="0" fontId="3" numFmtId="0" fillId="11" borderId="7" applyFont="1" applyNumberFormat="0" applyFill="1" applyBorder="1" applyAlignment="1">
      <alignment horizontal="center" vertical="center" textRotation="0" wrapText="false" shrinkToFit="false"/>
    </xf>
    <xf xfId="0" fontId="26" numFmtId="0" fillId="0" borderId="9" applyFont="1" applyNumberFormat="0" applyFill="0" applyBorder="1" applyAlignment="1">
      <alignment horizontal="left" vertical="center" textRotation="0" wrapText="false" shrinkToFit="false"/>
    </xf>
    <xf xfId="0" fontId="44" numFmtId="0" fillId="0" borderId="9" applyFont="1" applyNumberFormat="0" applyFill="0" applyBorder="1" applyAlignment="1">
      <alignment horizontal="left" vertical="center" textRotation="0" wrapText="false" shrinkToFit="false"/>
    </xf>
    <xf xfId="0" fontId="27" numFmtId="0" fillId="0" borderId="9" applyFont="1" applyNumberFormat="0" applyFill="0" applyBorder="1" applyAlignment="1">
      <alignment horizontal="left" vertical="center" textRotation="0" wrapText="false" shrinkToFit="false"/>
    </xf>
    <xf xfId="0" fontId="1" numFmtId="0" fillId="0" borderId="9" applyFont="1" applyNumberFormat="0" applyFill="0" applyBorder="1" applyAlignment="1">
      <alignment horizontal="center" vertical="distributed" textRotation="0" wrapText="false" shrinkToFit="false"/>
    </xf>
    <xf xfId="0" fontId="1" numFmtId="0" fillId="0" borderId="8" applyFont="1" applyNumberFormat="0" applyFill="0" applyBorder="1" applyAlignment="1">
      <alignment horizontal="right" vertical="center" textRotation="0" wrapText="false" shrinkToFit="false" indent="4"/>
    </xf>
    <xf xfId="0" fontId="41" numFmtId="0" fillId="0" borderId="0" applyFont="1" applyNumberFormat="0" applyFill="0" applyBorder="0" applyAlignment="1">
      <alignment horizontal="center" vertical="top" textRotation="0" wrapText="false" shrinkToFit="false"/>
    </xf>
    <xf xfId="0" fontId="45" numFmtId="0" fillId="0" borderId="0" applyFont="1" applyNumberFormat="0" applyFill="0" applyBorder="0" applyAlignment="1">
      <alignment horizontal="right" vertical="top" textRotation="0" wrapText="false" shrinkToFit="false"/>
    </xf>
    <xf xfId="0" fontId="46" numFmtId="0" fillId="0" borderId="4" applyFont="1" applyNumberFormat="0" applyFill="0" applyBorder="1" applyAlignment="1">
      <alignment horizontal="right" vertical="center" textRotation="0" wrapText="false" shrinkToFit="false"/>
    </xf>
    <xf xfId="0" fontId="1" numFmtId="0" fillId="0" borderId="6" applyFont="1" applyNumberFormat="0" applyFill="0" applyBorder="1" applyAlignment="1">
      <alignment horizontal="right" vertical="center" textRotation="0" wrapText="true" shrinkToFit="false"/>
    </xf>
    <xf xfId="0" fontId="1" numFmtId="0" fillId="0" borderId="15" applyFont="1" applyNumberFormat="0" applyFill="0" applyBorder="1" applyAlignment="1">
      <alignment horizontal="right" vertical="center" textRotation="0" wrapText="true" shrinkToFit="false"/>
    </xf>
    <xf xfId="0" fontId="46" numFmtId="0" fillId="0" borderId="2" applyFont="1" applyNumberFormat="0" applyFill="0" applyBorder="1" applyAlignment="1">
      <alignment horizontal="left" vertical="center" textRotation="0" wrapText="false" shrinkToFit="false"/>
    </xf>
    <xf xfId="0" fontId="4" numFmtId="165" fillId="11" borderId="0" applyFont="1" applyNumberFormat="1" applyFill="1" applyBorder="0" applyAlignment="1">
      <alignment horizontal="center" vertical="center" textRotation="0" wrapText="false" shrinkToFit="false"/>
    </xf>
    <xf xfId="0" fontId="26" numFmtId="0" fillId="0" borderId="16" applyFont="1" applyNumberFormat="0" applyFill="0" applyBorder="1" applyAlignment="1">
      <alignment horizontal="left" vertical="center" textRotation="0" wrapText="false" shrinkToFit="false"/>
    </xf>
    <xf xfId="0" fontId="46" numFmtId="0" fillId="0" borderId="24" applyFont="1" applyNumberFormat="0" applyFill="0" applyBorder="1" applyAlignment="1">
      <alignment horizontal="left" vertical="center" textRotation="0" wrapText="false" shrinkToFit="false"/>
    </xf>
    <xf xfId="0" fontId="44" numFmtId="0" fillId="0" borderId="24"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left" vertical="center" textRotation="0" wrapText="false" shrinkToFit="false"/>
    </xf>
    <xf xfId="0" fontId="46" numFmtId="0" fillId="0" borderId="4" applyFont="1" applyNumberFormat="0" applyFill="0" applyBorder="1" applyAlignment="1">
      <alignment horizontal="left" vertical="center" textRotation="0" wrapText="false" shrinkToFit="false"/>
    </xf>
    <xf xfId="0" fontId="26" numFmtId="0" fillId="0" borderId="15" applyFont="1" applyNumberFormat="0" applyFill="0" applyBorder="1" applyAlignment="1">
      <alignment horizontal="right" vertical="center" textRotation="0" wrapText="true" shrinkToFit="false"/>
    </xf>
    <xf xfId="0" fontId="4" numFmtId="165" fillId="11" borderId="5" applyFont="1" applyNumberFormat="1" applyFill="1" applyBorder="1" applyAlignment="1">
      <alignment horizontal="distributed" vertical="center" textRotation="0" wrapText="false" shrinkToFit="false" indent="2"/>
    </xf>
    <xf xfId="0" fontId="3" numFmtId="14" fillId="0" borderId="8" applyFont="1" applyNumberFormat="1" applyFill="0" applyBorder="1" applyAlignment="1">
      <alignment horizontal="left" vertical="center" textRotation="0" wrapText="false" shrinkToFit="false" indent="1"/>
    </xf>
    <xf xfId="0" fontId="4" numFmtId="0" fillId="11" borderId="8" applyFont="1" applyNumberFormat="0" applyFill="1" applyBorder="1" applyAlignment="1">
      <alignment horizontal="center" vertical="center" textRotation="0" wrapText="false" shrinkToFit="false"/>
    </xf>
    <xf xfId="0" fontId="37" numFmtId="0" fillId="0" borderId="25" applyFont="1" applyNumberFormat="0" applyFill="0" applyBorder="1" applyAlignment="1">
      <alignment horizontal="center" vertical="center" textRotation="0" wrapText="false" shrinkToFit="false"/>
    </xf>
    <xf xfId="0" fontId="37" numFmtId="0" fillId="0" borderId="26" applyFont="1" applyNumberFormat="0" applyFill="0" applyBorder="1" applyAlignment="1">
      <alignment horizontal="center" vertical="center" textRotation="0" wrapText="false" shrinkToFit="false"/>
    </xf>
    <xf xfId="0" fontId="37" numFmtId="0" fillId="0" borderId="27" applyFont="1" applyNumberFormat="0" applyFill="0" applyBorder="1" applyAlignment="1">
      <alignment horizontal="center" vertical="center" textRotation="0" wrapText="false" shrinkToFit="false"/>
    </xf>
    <xf xfId="0" fontId="35" numFmtId="0" fillId="0" borderId="25" applyFont="1" applyNumberFormat="0" applyFill="0" applyBorder="1" applyAlignment="1">
      <alignment horizontal="left" vertical="center" textRotation="0" wrapText="false" shrinkToFit="false" indent="1"/>
    </xf>
    <xf xfId="0" fontId="37" numFmtId="0" fillId="0" borderId="28" applyFont="1" applyNumberFormat="0" applyFill="0" applyBorder="1" applyAlignment="1">
      <alignment horizontal="center" vertical="center" textRotation="0" wrapText="false" shrinkToFit="false"/>
    </xf>
    <xf xfId="0" fontId="37" numFmtId="0" fillId="11" borderId="21" applyFont="1" applyNumberFormat="0" applyFill="1" applyBorder="1" applyAlignment="1">
      <alignment horizontal="left" vertical="center" textRotation="0" wrapText="false" shrinkToFit="false" indent="1"/>
    </xf>
    <xf xfId="0" fontId="37" numFmtId="0" fillId="11" borderId="27" applyFont="1" applyNumberFormat="0" applyFill="1" applyBorder="1" applyAlignment="1">
      <alignment horizontal="left" vertical="center" textRotation="0" wrapText="false" shrinkToFit="false" indent="1"/>
    </xf>
    <xf xfId="0" fontId="37" numFmtId="0" fillId="0" borderId="29" applyFont="1" applyNumberFormat="0" applyFill="0" applyBorder="1" applyAlignment="1">
      <alignment horizontal="center" vertical="center" textRotation="0" wrapText="true" shrinkToFit="false"/>
    </xf>
    <xf xfId="0" fontId="35" numFmtId="0" fillId="0" borderId="28" applyFont="1" applyNumberFormat="0" applyFill="0" applyBorder="1" applyAlignment="1">
      <alignment horizontal="center" vertical="top" textRotation="0" wrapText="true" shrinkToFit="false"/>
    </xf>
    <xf xfId="0" fontId="37" numFmtId="14" fillId="11" borderId="28" applyFont="1" applyNumberFormat="1" applyFill="1" applyBorder="1" applyAlignment="1">
      <alignment horizontal="left" vertical="center" textRotation="0" wrapText="false" shrinkToFit="false" indent="1"/>
    </xf>
    <xf xfId="0" fontId="0" numFmtId="0" fillId="0" borderId="20" applyFont="0" applyNumberFormat="0" applyFill="0" applyBorder="1" applyAlignment="1">
      <alignment horizontal="left" vertical="center" textRotation="0" wrapText="false" shrinkToFit="false" indent="1"/>
    </xf>
    <xf xfId="0" fontId="35" numFmtId="0" fillId="0" borderId="30" applyFont="1" applyNumberFormat="0" applyFill="0" applyBorder="1" applyAlignment="1">
      <alignment horizontal="left" vertical="center" textRotation="0" wrapText="false" shrinkToFit="false"/>
    </xf>
    <xf xfId="0" fontId="37" numFmtId="0" fillId="0" borderId="0" applyFont="1" applyNumberFormat="0" applyFill="0" applyBorder="0" applyAlignment="1">
      <alignment horizontal="right" vertical="center" textRotation="0" wrapText="false" shrinkToFit="false"/>
    </xf>
    <xf xfId="0" fontId="35" numFmtId="0" fillId="0" borderId="0" applyFont="1" applyNumberFormat="0" applyFill="0" applyBorder="0" applyAlignment="1">
      <alignment horizontal="left" vertical="center" textRotation="0" wrapText="false" shrinkToFit="false"/>
    </xf>
    <xf xfId="0" fontId="35" numFmtId="0" fillId="0" borderId="31" applyFont="1" applyNumberFormat="0" applyFill="0" applyBorder="1" applyAlignment="1">
      <alignment horizontal="left" vertical="center" textRotation="0" wrapText="false" shrinkToFit="false"/>
    </xf>
    <xf xfId="0" fontId="35" numFmtId="0" fillId="0" borderId="32" applyFont="1" applyNumberFormat="0" applyFill="0" applyBorder="1" applyAlignment="1">
      <alignment horizontal="left" vertical="center" textRotation="0" wrapText="true" shrinkToFit="false"/>
    </xf>
    <xf xfId="0" fontId="35" numFmtId="0" fillId="0" borderId="33" applyFont="1" applyNumberFormat="0" applyFill="0" applyBorder="1" applyAlignment="1">
      <alignment horizontal="left" vertical="center" textRotation="0" wrapText="false" shrinkToFit="false" indent="1"/>
    </xf>
    <xf xfId="0" fontId="35" numFmtId="0" fillId="0" borderId="34" applyFont="1" applyNumberFormat="0" applyFill="0" applyBorder="1" applyAlignment="1">
      <alignment horizontal="left" vertical="center" textRotation="0" wrapText="false" shrinkToFit="false"/>
    </xf>
    <xf xfId="0" fontId="47" numFmtId="0" fillId="0" borderId="0" applyFont="1" applyNumberFormat="0" applyFill="0" applyBorder="0" applyAlignment="1">
      <alignment horizontal="center" vertical="center" textRotation="0" wrapText="false" shrinkToFit="false"/>
    </xf>
    <xf xfId="0" fontId="38" numFmtId="0" fillId="7" borderId="17" applyFont="1" applyNumberFormat="0" applyFill="1" applyBorder="1" applyAlignment="1">
      <alignment horizontal="center" vertical="center" textRotation="0" wrapText="false" shrinkToFit="false"/>
    </xf>
    <xf xfId="0" fontId="37" numFmtId="0" fillId="11" borderId="29" applyFont="1" applyNumberFormat="0" applyFill="1" applyBorder="1" applyAlignment="1">
      <alignment horizontal="left" vertical="center" textRotation="0" wrapText="false" shrinkToFit="false" indent="1"/>
    </xf>
    <xf xfId="0" fontId="37" numFmtId="0" fillId="0" borderId="26" applyFont="1" applyNumberFormat="0" applyFill="0" applyBorder="1" applyAlignment="1">
      <alignment horizontal="center" vertical="center" textRotation="0" wrapText="false" shrinkToFit="false"/>
    </xf>
    <xf xfId="0" fontId="48" numFmtId="0" fillId="0" borderId="0" applyFont="1" applyNumberFormat="0" applyFill="0" applyBorder="0" applyAlignment="1">
      <alignment horizontal="right" vertical="center" textRotation="0" wrapText="false" shrinkToFit="false"/>
    </xf>
    <xf xfId="0" fontId="37" numFmtId="0" fillId="0" borderId="25" applyFont="1" applyNumberFormat="0" applyFill="0" applyBorder="1" applyAlignment="1">
      <alignment horizontal="center" vertical="center" textRotation="0" wrapText="false" shrinkToFit="false"/>
    </xf>
    <xf xfId="0" fontId="37" numFmtId="0" fillId="11" borderId="21" applyFont="1" applyNumberFormat="0" applyFill="1" applyBorder="1" applyAlignment="1">
      <alignment horizontal="left" vertical="center" textRotation="0" wrapText="true" shrinkToFit="false" indent="1"/>
    </xf>
    <xf xfId="0" fontId="49" numFmtId="0" fillId="0" borderId="0" applyFont="1" applyNumberFormat="0" applyFill="0" applyBorder="0" applyAlignment="1">
      <alignment horizontal="center" vertical="top" textRotation="0" wrapText="false" shrinkToFit="false"/>
    </xf>
    <xf xfId="0" fontId="37" numFmtId="0" fillId="7" borderId="17" applyFont="1" applyNumberFormat="0" applyFill="1" applyBorder="1" applyAlignment="1">
      <alignment horizontal="left" vertical="center" textRotation="0" wrapText="false" shrinkToFit="false"/>
    </xf>
    <xf xfId="0" fontId="37" numFmtId="0" fillId="0" borderId="29" applyFont="1" applyNumberFormat="0" applyFill="0" applyBorder="1" applyAlignment="1">
      <alignment horizontal="center" vertical="center" textRotation="0" wrapText="false" shrinkToFit="false"/>
    </xf>
    <xf xfId="0" fontId="37" numFmtId="0" fillId="0" borderId="35" applyFont="1" applyNumberFormat="0" applyFill="0" applyBorder="1" applyAlignment="1">
      <alignment horizontal="left" vertical="center" textRotation="0" wrapText="true" shrinkToFit="false" indent="1"/>
    </xf>
    <xf xfId="0" fontId="37" numFmtId="0" fillId="0" borderId="36" applyFont="1" applyNumberFormat="0" applyFill="0" applyBorder="1" applyAlignment="1">
      <alignment horizontal="center" vertical="center" textRotation="0" wrapText="true" shrinkToFit="false"/>
    </xf>
    <xf xfId="0" fontId="37" numFmtId="0" fillId="0" borderId="20" applyFont="1" applyNumberFormat="0" applyFill="0" applyBorder="1" applyAlignment="1">
      <alignment horizontal="center" vertical="center" textRotation="0" wrapText="false" shrinkToFit="false"/>
    </xf>
    <xf xfId="0" fontId="37" numFmtId="0" fillId="0" borderId="30" applyFont="1" applyNumberFormat="0" applyFill="0" applyBorder="1" applyAlignment="1">
      <alignment horizontal="center" vertical="center" textRotation="0" wrapText="false" shrinkToFit="false"/>
    </xf>
    <xf xfId="0" fontId="37" numFmtId="0" fillId="0" borderId="30" applyFont="1" applyNumberFormat="0" applyFill="0" applyBorder="1" applyAlignment="1">
      <alignment horizontal="center" vertical="top" textRotation="0" wrapText="false" shrinkToFit="false"/>
    </xf>
    <xf xfId="0" fontId="37" numFmtId="0" fillId="0" borderId="36" applyFont="1" applyNumberFormat="0" applyFill="0" applyBorder="1" applyAlignment="1">
      <alignment horizontal="center" vertical="center" textRotation="0" wrapText="false" shrinkToFit="false"/>
    </xf>
    <xf xfId="0" fontId="37" numFmtId="0" fillId="0" borderId="37" applyFont="1" applyNumberFormat="0" applyFill="0" applyBorder="1" applyAlignment="1">
      <alignment horizontal="center" vertical="center" textRotation="0" wrapText="false" shrinkToFit="false"/>
    </xf>
    <xf xfId="0" fontId="37" numFmtId="0" fillId="0" borderId="38" applyFont="1" applyNumberFormat="0" applyFill="0" applyBorder="1" applyAlignment="1">
      <alignment horizontal="center" vertical="center" textRotation="0" wrapText="false" shrinkToFit="false"/>
    </xf>
    <xf xfId="0" fontId="37" numFmtId="0" fillId="0" borderId="39" applyFont="1" applyNumberFormat="0" applyFill="0" applyBorder="1" applyAlignment="1">
      <alignment horizontal="center" vertical="center" textRotation="0" wrapText="false" shrinkToFit="false"/>
    </xf>
    <xf xfId="0" fontId="36" numFmtId="0" fillId="0" borderId="28" applyFont="1" applyNumberFormat="0" applyFill="0" applyBorder="1" applyAlignment="1">
      <alignment horizontal="left" vertical="center" textRotation="0" wrapText="false" shrinkToFit="false" indent="1"/>
    </xf>
    <xf xfId="0" fontId="37" numFmtId="0" fillId="0" borderId="0" applyFont="1" applyNumberFormat="0" applyFill="0" applyBorder="0" applyAlignment="1">
      <alignment horizontal="left" vertical="center" textRotation="0" wrapText="false" shrinkToFit="false"/>
    </xf>
    <xf xfId="0" fontId="37" numFmtId="171" fillId="0" borderId="0" applyFont="1" applyNumberFormat="1" applyFill="0" applyBorder="0" applyAlignment="1">
      <alignment horizontal="left" vertical="center" textRotation="0" wrapText="false" shrinkToFit="false" indent="2"/>
    </xf>
    <xf xfId="0" fontId="50" numFmtId="0" fillId="7" borderId="17" applyFont="1" applyNumberFormat="0" applyFill="1" applyBorder="1" applyAlignment="1">
      <alignment horizontal="center" vertical="center" textRotation="0" wrapText="false" shrinkToFit="false"/>
    </xf>
    <xf xfId="0" fontId="35" numFmtId="0" fillId="0" borderId="16" applyFont="1" applyNumberFormat="0" applyFill="0" applyBorder="1" applyAlignment="1">
      <alignment horizontal="left" vertical="center" textRotation="0" wrapText="false" shrinkToFit="false"/>
    </xf>
    <xf xfId="0" fontId="35" numFmtId="0" fillId="0" borderId="40" applyFont="1" applyNumberFormat="0" applyFill="0" applyBorder="1" applyAlignment="1">
      <alignment horizontal="center" vertical="center" textRotation="0" wrapText="false" shrinkToFit="false"/>
    </xf>
    <xf xfId="0" fontId="35" numFmtId="0" fillId="0" borderId="41" applyFont="1" applyNumberFormat="0" applyFill="0" applyBorder="1" applyAlignment="1">
      <alignment horizontal="center" vertical="center" textRotation="0" wrapText="false" shrinkToFit="false"/>
    </xf>
    <xf xfId="0" fontId="35" numFmtId="0" fillId="0" borderId="0" applyFont="1" applyNumberFormat="0" applyFill="0" applyBorder="0" applyAlignment="1">
      <alignment horizontal="center" vertical="center" textRotation="0" wrapText="false" shrinkToFit="false"/>
    </xf>
    <xf xfId="0" fontId="12" numFmtId="0" fillId="0" borderId="14" applyFont="1" applyNumberFormat="0" applyFill="0" applyBorder="1" applyAlignment="1">
      <alignment horizontal="left" vertical="center" textRotation="0" wrapText="false" shrinkToFit="false"/>
    </xf>
    <xf xfId="0" fontId="12" numFmtId="0" fillId="0" borderId="24" applyFont="1" applyNumberFormat="0" applyFill="0" applyBorder="1" applyAlignment="1">
      <alignment horizontal="left" vertical="center" textRotation="0" wrapText="false" shrinkToFit="false"/>
    </xf>
    <xf xfId="0" fontId="51" numFmtId="168" fillId="11" borderId="1" applyFont="1" applyNumberFormat="1" applyFill="1" applyBorder="1" applyAlignment="1">
      <alignment horizontal="center" vertical="center" textRotation="0" wrapText="false" shrinkToFit="false"/>
    </xf>
    <xf xfId="0" fontId="14" numFmtId="167" fillId="0" borderId="42" applyFont="1" applyNumberFormat="1" applyFill="0" applyBorder="1" applyAlignment="1">
      <alignment horizontal="right" vertical="center" textRotation="0" wrapText="false" shrinkToFit="false" indent="1"/>
    </xf>
    <xf xfId="0" fontId="12" numFmtId="0" fillId="0" borderId="1" applyFont="1" applyNumberFormat="0" applyFill="0" applyBorder="1" applyAlignment="1">
      <alignment horizontal="left" vertical="center" textRotation="0" wrapText="false" shrinkToFit="false"/>
    </xf>
    <xf xfId="0" fontId="14" numFmtId="0" fillId="0" borderId="5" applyFont="1" applyNumberFormat="0" applyFill="0" applyBorder="1" applyAlignment="1">
      <alignment horizontal="center" vertical="center" textRotation="0" wrapText="false" shrinkToFit="false"/>
    </xf>
    <xf xfId="0" fontId="14" numFmtId="0" fillId="0" borderId="0" applyFont="1" applyNumberFormat="0" applyFill="0" applyBorder="0" applyAlignment="1">
      <alignment horizontal="left" vertical="center" textRotation="0" wrapText="false" shrinkToFit="false"/>
    </xf>
    <xf xfId="0" fontId="14" numFmtId="0" fillId="11" borderId="3" applyFont="1" applyNumberFormat="0" applyFill="1" applyBorder="1" applyAlignment="1">
      <alignment horizontal="center" vertical="center" textRotation="0" wrapText="false" shrinkToFit="false"/>
    </xf>
    <xf xfId="0" fontId="14" numFmtId="0" fillId="0" borderId="43" applyFont="1" applyNumberFormat="0" applyFill="0" applyBorder="1" applyAlignment="1">
      <alignment horizontal="left" vertical="center" textRotation="0" wrapText="false" shrinkToFit="false"/>
    </xf>
    <xf xfId="0" fontId="14" numFmtId="0" fillId="0" borderId="43" applyFont="1" applyNumberFormat="0" applyFill="0" applyBorder="1" applyAlignment="1">
      <alignment horizontal="center" vertical="center" textRotation="0" wrapText="false" shrinkToFit="false"/>
    </xf>
    <xf xfId="0" fontId="12" numFmtId="0" fillId="0" borderId="24" applyFont="1" applyNumberFormat="0" applyFill="0" applyBorder="1" applyAlignment="1">
      <alignment horizontal="left" vertical="top" textRotation="0" wrapText="false" shrinkToFit="false"/>
    </xf>
    <xf xfId="0" fontId="52" numFmtId="0" fillId="0" borderId="43" applyFont="1" applyNumberFormat="0" applyFill="0" applyBorder="1" applyAlignment="1">
      <alignment horizontal="center" vertical="center" textRotation="0" wrapText="false" shrinkToFit="false"/>
    </xf>
    <xf xfId="0" fontId="52" numFmtId="3" fillId="0" borderId="42" applyFont="1" applyNumberFormat="1" applyFill="0" applyBorder="1" applyAlignment="1">
      <alignment horizontal="right" vertical="center" textRotation="0" wrapText="false" shrinkToFit="false" indent="1"/>
    </xf>
    <xf xfId="0" fontId="18" numFmtId="0" fillId="0" borderId="0" applyFont="1" applyNumberFormat="0" applyFill="0" applyBorder="0" applyAlignment="1">
      <alignment horizontal="center" vertical="bottom" textRotation="0" wrapText="false" shrinkToFit="false"/>
    </xf>
    <xf xfId="0" fontId="21" numFmtId="0" fillId="0" borderId="0" applyFont="1" applyNumberFormat="0" applyFill="0" applyBorder="0" applyAlignment="1">
      <alignment horizontal="center" vertical="center" textRotation="0" wrapText="true" shrinkToFit="false"/>
    </xf>
    <xf xfId="0" fontId="21" numFmtId="0" fillId="6" borderId="13" applyFont="1" applyNumberFormat="0" applyFill="1" applyBorder="1" applyAlignment="1">
      <alignment horizontal="left" vertical="center" textRotation="0" wrapText="false" shrinkToFit="false"/>
    </xf>
    <xf xfId="0" fontId="19" numFmtId="0" fillId="0" borderId="13" applyFont="1" applyNumberFormat="0" applyFill="0" applyBorder="1" applyAlignment="1">
      <alignment horizontal="center" vertical="center" textRotation="0" wrapText="false" shrinkToFit="false"/>
    </xf>
    <xf xfId="0" fontId="53" numFmtId="0" fillId="5" borderId="0" applyFont="1" applyNumberFormat="0" applyFill="1" applyBorder="0" applyAlignment="1">
      <alignment horizontal="center" vertical="center" textRotation="0" wrapText="false" shrinkToFit="false"/>
    </xf>
    <xf xfId="0" fontId="54" numFmtId="0" fillId="12" borderId="0" applyFont="1" applyNumberFormat="0" applyFill="1" applyBorder="0" applyAlignment="1">
      <alignment horizontal="center" vertical="center" textRotation="0" wrapText="false" shrinkToFit="false"/>
    </xf>
    <xf xfId="0" fontId="55" numFmtId="0" fillId="0" borderId="0" applyFont="1" applyNumberFormat="0" applyFill="0" applyBorder="0" applyAlignment="1">
      <alignment horizontal="center" vertical="bottom" textRotation="0" wrapText="true" shrinkToFit="false"/>
    </xf>
    <xf xfId="0" fontId="18" numFmtId="0" fillId="0" borderId="0" applyFont="1"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vertical="bottom" textRotation="0" wrapText="false" shrinkToFit="false"/>
    </xf>
    <xf xfId="0" fontId="39" numFmtId="169" fillId="0" borderId="8" applyFont="1" applyNumberFormat="1" applyFill="0" applyBorder="1" applyAlignment="1">
      <alignment horizontal="center" vertical="center" textRotation="0" wrapText="false" shrinkToFit="false"/>
    </xf>
    <xf xfId="0" fontId="39" numFmtId="164" fillId="10" borderId="8" applyFont="1" applyNumberFormat="1" applyFill="1" applyBorder="1" applyAlignment="1">
      <alignment horizontal="left" vertical="center" textRotation="0" wrapText="false" shrinkToFit="false" indent="1"/>
    </xf>
    <xf xfId="0" fontId="39" numFmtId="172" fillId="0" borderId="0" applyFont="1" applyNumberFormat="1" applyFill="0" applyBorder="0" applyAlignment="1">
      <alignment vertical="center" textRotation="0" wrapText="false" shrinkToFit="false"/>
    </xf>
    <xf xfId="0" fontId="56" numFmtId="0" fillId="0" borderId="6" applyFont="1" applyNumberFormat="0" applyFill="0" applyBorder="1" applyAlignment="1">
      <alignment horizontal="center" vertical="center" textRotation="0" wrapText="false" shrinkToFit="false"/>
    </xf>
    <xf xfId="0" fontId="0" numFmtId="0" fillId="0" borderId="16" applyFont="0" applyNumberFormat="0" applyFill="0" applyBorder="1" applyAlignment="1">
      <alignment vertical="bottom" textRotation="0" wrapText="false" shrinkToFit="false"/>
    </xf>
    <xf xfId="0" fontId="0" numFmtId="0" fillId="0" borderId="24" applyFont="0" applyNumberFormat="0" applyFill="0" applyBorder="1" applyAlignment="1">
      <alignment vertical="bottom" textRotation="0" wrapText="false" shrinkToFit="false"/>
    </xf>
    <xf xfId="0" fontId="0" numFmtId="0" fillId="0" borderId="4" applyFont="0" applyNumberFormat="0" applyFill="0" applyBorder="1" applyAlignment="1">
      <alignment vertical="bottom" textRotation="0" wrapText="false" shrinkToFit="false"/>
    </xf>
    <xf xfId="0" fontId="0" numFmtId="0" fillId="0" borderId="5" applyFont="0" applyNumberFormat="0" applyFill="0" applyBorder="1" applyAlignment="1">
      <alignment vertical="bottom" textRotation="0" wrapText="false" shrinkToFit="false"/>
    </xf>
    <xf xfId="0" fontId="0" numFmtId="0" fillId="0" borderId="17" applyFont="0" applyNumberFormat="0" applyFill="0" applyBorder="1" applyAlignment="1">
      <alignment vertical="bottom" textRotation="0" wrapText="false" shrinkToFit="false"/>
    </xf>
    <xf xfId="0" fontId="0" numFmtId="0" fillId="0" borderId="9" applyFont="0" applyNumberFormat="0" applyFill="0" applyBorder="1" applyAlignment="1">
      <alignment vertical="bottom" textRotation="0" wrapText="false" shrinkToFit="false"/>
    </xf>
    <xf xfId="0" fontId="4" numFmtId="49" fillId="11" borderId="9" applyFont="1" applyNumberFormat="1" applyFill="1" applyBorder="1" applyAlignment="1">
      <alignment horizontal="center" vertical="center" textRotation="0" wrapText="false" shrinkToFit="false"/>
    </xf>
    <xf xfId="0" fontId="1" numFmtId="0" fillId="0" borderId="8" applyFont="1" applyNumberFormat="0" applyFill="0" applyBorder="1" applyAlignment="1">
      <alignment horizontal="left" vertical="center" textRotation="0" wrapText="false" shrinkToFit="false" indent="1"/>
    </xf>
    <xf xfId="0" fontId="1" numFmtId="0" fillId="0" borderId="8" applyFont="1" applyNumberFormat="0" applyFill="0" applyBorder="1" applyAlignment="1">
      <alignment horizontal="center" vertical="center" textRotation="0" wrapText="true" shrinkToFit="false"/>
    </xf>
    <xf xfId="0" fontId="4" numFmtId="0" fillId="0" borderId="8" applyFont="1" applyNumberFormat="0" applyFill="0" applyBorder="1" applyAlignment="1">
      <alignment horizontal="left" vertical="center" textRotation="0" wrapText="false" shrinkToFit="false" indent="1"/>
    </xf>
    <xf xfId="0" fontId="2" numFmtId="0" fillId="0" borderId="8" applyFont="1" applyNumberFormat="0" applyFill="0" applyBorder="1" applyAlignment="1">
      <alignment horizontal="left" vertical="center" textRotation="0" wrapText="true" shrinkToFit="false"/>
    </xf>
    <xf xfId="0" fontId="1" numFmtId="0" fillId="0" borderId="44" applyFont="1" applyNumberFormat="0" applyFill="0" applyBorder="1" applyAlignment="1">
      <alignment horizontal="left" vertical="center" textRotation="0" wrapText="false" shrinkToFit="false" indent="3"/>
    </xf>
    <xf xfId="0" fontId="0" numFmtId="0" fillId="0" borderId="2" applyFont="0" applyNumberFormat="0" applyFill="0" applyBorder="1" applyAlignment="1">
      <alignment vertical="bottom" textRotation="0" wrapText="false" shrinkToFit="false"/>
    </xf>
    <xf xfId="0" fontId="0" numFmtId="170" fillId="0" borderId="0" applyFont="0" applyNumberFormat="1" applyFill="0" applyBorder="0" applyAlignment="1">
      <alignment vertical="center" textRotation="0" wrapText="false" shrinkToFit="false"/>
    </xf>
    <xf xfId="0" fontId="0" numFmtId="170" fillId="0" borderId="0" applyFont="0" applyNumberFormat="1" applyFill="0" applyBorder="0" applyAlignment="1">
      <alignment horizontal="distributed" vertical="center" textRotation="0" wrapText="false" shrinkToFit="false" indent="5"/>
    </xf>
    <xf xfId="0" fontId="38" numFmtId="0" fillId="0" borderId="8"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left" vertical="center" textRotation="0" wrapText="true" shrinkToFit="false"/>
    </xf>
    <xf xfId="0" fontId="4" numFmtId="0" fillId="11" borderId="9" applyFont="1" applyNumberFormat="0" applyFill="1" applyBorder="1" applyAlignment="1">
      <alignment horizontal="left" vertical="center" textRotation="0" wrapText="false" shrinkToFit="false"/>
    </xf>
    <xf xfId="0" fontId="29" numFmtId="0" fillId="0" borderId="7" applyFont="1" applyNumberFormat="0" applyFill="0" applyBorder="1" applyAlignment="1">
      <alignment horizontal="center" vertical="center" textRotation="0" wrapText="true" shrinkToFit="false"/>
    </xf>
    <xf xfId="0" fontId="3" numFmtId="49" fillId="11" borderId="7" applyFont="1" applyNumberFormat="1" applyFill="1" applyBorder="1" applyAlignment="1">
      <alignment horizontal="right" vertical="center" textRotation="0" wrapText="false" shrinkToFit="false" indent="2"/>
    </xf>
    <xf xfId="0" fontId="4" numFmtId="0" fillId="0" borderId="9" applyFont="1" applyNumberFormat="0" applyFill="0" applyBorder="1" applyAlignment="1">
      <alignment horizontal="center" vertical="center" textRotation="0" wrapText="false" shrinkToFit="false"/>
    </xf>
    <xf xfId="0" fontId="0" numFmtId="0" fillId="0" borderId="1" applyFont="0" applyNumberFormat="0" applyFill="0" applyBorder="1" applyAlignment="1">
      <alignment vertical="bottom" textRotation="0" wrapText="false" shrinkToFit="false"/>
    </xf>
    <xf xfId="0" fontId="0" numFmtId="0" fillId="0" borderId="3" applyFont="0" applyNumberFormat="0" applyFill="0" applyBorder="1" applyAlignment="1">
      <alignment vertical="bottom" textRotation="0" wrapText="false" shrinkToFit="false"/>
    </xf>
    <xf xfId="0" fontId="1" numFmtId="49" fillId="11" borderId="7" applyFont="1" applyNumberFormat="1" applyFill="1" applyBorder="1" applyAlignment="1">
      <alignment horizontal="right" vertical="center" textRotation="0" wrapText="false" shrinkToFit="false" indent="2"/>
    </xf>
    <xf xfId="0" fontId="2" numFmtId="0" fillId="0" borderId="44" applyFont="1" applyNumberFormat="0" applyFill="0" applyBorder="1" applyAlignment="1">
      <alignment horizontal="center" vertical="center" textRotation="0" wrapText="false" shrinkToFit="false"/>
    </xf>
    <xf xfId="0" fontId="1" numFmtId="0" fillId="0" borderId="15" applyFont="1" applyNumberFormat="0" applyFill="0" applyBorder="1"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45" numFmtId="0" fillId="0" borderId="8" applyFont="1" applyNumberFormat="0" applyFill="0" applyBorder="1" applyAlignment="1">
      <alignment horizontal="left" vertical="center" textRotation="0" wrapText="true" shrinkToFit="false"/>
    </xf>
    <xf xfId="0" fontId="1" numFmtId="0" fillId="0" borderId="6"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right" vertical="center" textRotation="0" wrapText="false" shrinkToFit="false" indent="2"/>
    </xf>
    <xf xfId="0" fontId="57" numFmtId="0" fillId="0" borderId="6" applyFont="1" applyNumberFormat="0" applyFill="0" applyBorder="1" applyAlignment="1">
      <alignment horizontal="center" vertical="center" textRotation="0" wrapText="false" shrinkToFit="false"/>
    </xf>
    <xf xfId="0" fontId="58" numFmtId="173" fillId="0" borderId="0" applyFont="1" applyNumberFormat="1" applyFill="0" applyBorder="0" applyAlignment="1">
      <alignment horizontal="center" vertical="center" textRotation="0" wrapText="false" shrinkToFit="true"/>
    </xf>
    <xf xfId="0" fontId="1" numFmtId="0" fillId="0" borderId="44" applyFont="1" applyNumberFormat="0" applyFill="0" applyBorder="1" applyAlignment="1">
      <alignment horizontal="left" vertical="center" textRotation="0" wrapText="false" shrinkToFit="false" indent="1"/>
    </xf>
    <xf xfId="0" fontId="1" numFmtId="0" fillId="0" borderId="8" applyFont="1" applyNumberFormat="0" applyFill="0" applyBorder="1" applyAlignment="1">
      <alignment horizontal="right" vertical="center" textRotation="0" wrapText="true" shrinkToFit="false"/>
    </xf>
    <xf xfId="0" fontId="27" numFmtId="0" fillId="0" borderId="8" applyFont="1" applyNumberFormat="0" applyFill="0" applyBorder="1" applyAlignment="1">
      <alignment horizontal="right" vertical="center" textRotation="0" wrapText="true" shrinkToFit="false"/>
    </xf>
    <xf xfId="0" fontId="26" numFmtId="0" fillId="0" borderId="8" applyFont="1" applyNumberFormat="0" applyFill="0" applyBorder="1" applyAlignment="1">
      <alignment horizontal="right" vertical="center" textRotation="0" wrapText="true" shrinkToFit="false"/>
    </xf>
    <xf xfId="0" fontId="59" numFmtId="0" fillId="0" borderId="8" applyFont="1" applyNumberFormat="0" applyFill="0" applyBorder="1" applyAlignment="1">
      <alignment horizontal="right" vertical="center" textRotation="0" wrapText="true" shrinkToFit="false"/>
    </xf>
    <xf xfId="0" fontId="60" numFmtId="0" fillId="0" borderId="8" applyFont="1" applyNumberFormat="0" applyFill="0" applyBorder="1" applyAlignment="1">
      <alignment horizontal="right" vertical="center" textRotation="0" wrapText="true" shrinkToFit="false"/>
    </xf>
    <xf xfId="0" fontId="0" numFmtId="0" fillId="0" borderId="15" applyFont="0" applyNumberFormat="0" applyFill="0" applyBorder="1" applyAlignment="1">
      <alignment vertical="bottom" textRotation="0" wrapText="false" shrinkToFit="false"/>
    </xf>
    <xf xfId="0" fontId="26" numFmtId="0" fillId="0" borderId="5" applyFont="1" applyNumberFormat="0" applyFill="0" applyBorder="1" applyAlignment="1">
      <alignment horizontal="left" vertical="center" textRotation="0" wrapText="true" shrinkToFit="false"/>
    </xf>
    <xf xfId="0" fontId="26" numFmtId="0" fillId="0" borderId="44" applyFont="1" applyNumberFormat="0" applyFill="0" applyBorder="1" applyAlignment="1">
      <alignment horizontal="center" vertical="center" textRotation="0" wrapText="false" shrinkToFit="false"/>
    </xf>
    <xf xfId="0" fontId="27" numFmtId="0" fillId="0" borderId="15" applyFont="1" applyNumberFormat="0" applyFill="0" applyBorder="1" applyAlignment="1">
      <alignment horizontal="center" vertical="center" textRotation="0" wrapText="false" shrinkToFit="false"/>
    </xf>
    <xf xfId="0" fontId="27" numFmtId="0" fillId="0" borderId="9" applyFont="1" applyNumberFormat="0" applyFill="0" applyBorder="1" applyAlignment="1">
      <alignment horizontal="left" vertical="center" textRotation="0" wrapText="true" shrinkToFit="false"/>
    </xf>
    <xf xfId="0" fontId="60" numFmtId="0" fillId="0" borderId="9" applyFont="1" applyNumberFormat="0" applyFill="0" applyBorder="1" applyAlignment="1">
      <alignment horizontal="left" vertical="center" textRotation="0" wrapText="true" shrinkToFit="false"/>
    </xf>
    <xf xfId="0" fontId="26" numFmtId="0" fillId="0" borderId="6" applyFont="1" applyNumberFormat="0" applyFill="0" applyBorder="1" applyAlignment="1">
      <alignment horizontal="left" vertical="center" textRotation="0" wrapText="false" shrinkToFit="false"/>
    </xf>
    <xf xfId="0" fontId="26" numFmtId="0" fillId="0" borderId="8" applyFont="1" applyNumberFormat="0" applyFill="0" applyBorder="1" applyAlignment="1">
      <alignment horizontal="left" vertical="center" textRotation="0" wrapText="true" shrinkToFit="false"/>
    </xf>
    <xf xfId="0" fontId="26" numFmtId="0" fillId="0" borderId="8" applyFont="1" applyNumberFormat="0" applyFill="0" applyBorder="1" applyAlignment="1">
      <alignment horizontal="center" vertical="center" textRotation="0" wrapText="false" shrinkToFit="false"/>
    </xf>
    <xf xfId="0" fontId="46" numFmtId="0" fillId="0" borderId="6" applyFont="1" applyNumberFormat="0" applyFill="0" applyBorder="1" applyAlignment="1">
      <alignment horizontal="left" vertical="center" textRotation="0" wrapText="false" shrinkToFit="false"/>
    </xf>
    <xf xfId="0" fontId="26" numFmtId="0" fillId="0" borderId="8" applyFont="1" applyNumberFormat="0" applyFill="0" applyBorder="1" applyAlignment="1">
      <alignment horizontal="right" vertical="center" textRotation="0" wrapText="false" shrinkToFit="false" indent="2"/>
    </xf>
    <xf xfId="0" fontId="61" numFmtId="170" fillId="7" borderId="17" applyFont="1" applyNumberFormat="1" applyFill="1" applyBorder="1" applyAlignment="1">
      <alignment horizontal="distributed" vertical="center" textRotation="0" wrapText="false" shrinkToFit="false"/>
    </xf>
    <xf xfId="0" fontId="37" numFmtId="0" fillId="0" borderId="45" applyFont="1" applyNumberFormat="0" applyFill="0" applyBorder="1" applyAlignment="1">
      <alignment horizontal="center" vertical="center" textRotation="0" wrapText="true" shrinkToFit="false"/>
    </xf>
    <xf xfId="0" fontId="0" numFmtId="0" fillId="0" borderId="36" applyFont="0" applyNumberFormat="0" applyFill="0" applyBorder="1" applyAlignment="1">
      <alignment vertical="bottom" textRotation="0" wrapText="false" shrinkToFit="false"/>
    </xf>
    <xf xfId="0" fontId="0" numFmtId="0" fillId="0" borderId="37" applyFont="0" applyNumberFormat="0" applyFill="0" applyBorder="1" applyAlignment="1">
      <alignment vertical="bottom" textRotation="0" wrapText="false" shrinkToFit="false"/>
    </xf>
    <xf xfId="0" fontId="0" numFmtId="0" fillId="0" borderId="21" applyFont="0" applyNumberFormat="0" applyFill="0" applyBorder="1" applyAlignment="1">
      <alignment vertical="bottom" textRotation="0" wrapText="false" shrinkToFit="false"/>
    </xf>
    <xf xfId="0" fontId="0" numFmtId="0" fillId="0" borderId="46" applyFont="0" applyNumberFormat="0" applyFill="0" applyBorder="1" applyAlignment="1">
      <alignment vertical="bottom" textRotation="0" wrapText="false" shrinkToFit="false"/>
    </xf>
    <xf xfId="0" fontId="37" numFmtId="0" fillId="11" borderId="33" applyFont="1" applyNumberFormat="0" applyFill="1" applyBorder="1" applyAlignment="1">
      <alignment horizontal="left" vertical="center" textRotation="0" wrapText="false" shrinkToFit="true" indent="1"/>
    </xf>
    <xf xfId="0" fontId="0" numFmtId="0" fillId="0" borderId="34" applyFont="0" applyNumberFormat="0" applyFill="0" applyBorder="1" applyAlignment="1">
      <alignment vertical="bottom" textRotation="0" wrapText="false" shrinkToFit="false"/>
    </xf>
    <xf xfId="0" fontId="37" numFmtId="0" fillId="11" borderId="47" applyFont="1" applyNumberFormat="0" applyFill="1" applyBorder="1" applyAlignment="1">
      <alignment horizontal="left" vertical="center" textRotation="0" wrapText="false" shrinkToFit="false" indent="1"/>
    </xf>
    <xf xfId="0" fontId="0" numFmtId="0" fillId="0" borderId="48" applyFont="0" applyNumberFormat="0" applyFill="0" applyBorder="1" applyAlignment="1">
      <alignment vertical="bottom" textRotation="0" wrapText="false" shrinkToFit="false"/>
    </xf>
    <xf xfId="0" fontId="0" numFmtId="0" fillId="0" borderId="49" applyFont="0" applyNumberFormat="0" applyFill="0" applyBorder="1" applyAlignment="1">
      <alignment vertical="bottom" textRotation="0" wrapText="false" shrinkToFit="false"/>
    </xf>
    <xf xfId="0" fontId="0" numFmtId="0" fillId="0" borderId="31" applyFont="0" applyNumberFormat="0" applyFill="0" applyBorder="1" applyAlignment="1">
      <alignment vertical="bottom" textRotation="0" wrapText="false" shrinkToFit="false"/>
    </xf>
    <xf xfId="0" fontId="0" numFmtId="0" fillId="0" borderId="46" applyFont="0" applyNumberFormat="0" applyFill="0" applyBorder="1" applyAlignment="1">
      <alignment vertical="bottom" textRotation="0" wrapText="false" shrinkToFit="false"/>
    </xf>
    <xf xfId="0" fontId="37" numFmtId="0" fillId="11" borderId="33" applyFont="1" applyNumberFormat="0" applyFill="1" applyBorder="1" applyAlignment="1">
      <alignment horizontal="left" vertical="center" textRotation="0" wrapText="false" shrinkToFit="false" indent="1"/>
    </xf>
    <xf xfId="0" fontId="0" numFmtId="0" fillId="0" borderId="34" applyFont="0" applyNumberFormat="0" applyFill="0" applyBorder="1" applyAlignment="1">
      <alignment vertical="bottom" textRotation="0" wrapText="false" shrinkToFit="false"/>
    </xf>
    <xf xfId="0" fontId="37" numFmtId="0" fillId="0" borderId="33" applyFont="1" applyNumberFormat="0" applyFill="0" applyBorder="1" applyAlignment="1">
      <alignment horizontal="center" vertical="center" textRotation="0" wrapText="true" shrinkToFit="false"/>
    </xf>
    <xf xfId="0" fontId="0" numFmtId="0" fillId="0" borderId="48" applyFont="0" applyNumberFormat="0" applyFill="0" applyBorder="1" applyAlignment="1">
      <alignment vertical="bottom" textRotation="0" wrapText="false" shrinkToFit="false"/>
    </xf>
    <xf xfId="0" fontId="0" numFmtId="0" fillId="0" borderId="49" applyFont="0" applyNumberFormat="0" applyFill="0" applyBorder="1" applyAlignment="1">
      <alignment vertical="bottom" textRotation="0" wrapText="false" shrinkToFit="false"/>
    </xf>
    <xf xfId="0" fontId="0" numFmtId="0" fillId="0" borderId="31" applyFont="0" applyNumberFormat="0" applyFill="0" applyBorder="1" applyAlignment="1">
      <alignment vertical="bottom" textRotation="0" wrapText="false" shrinkToFit="false"/>
    </xf>
    <xf xfId="0" fontId="0" numFmtId="0" fillId="0" borderId="30" applyFont="0" applyNumberFormat="0" applyFill="0" applyBorder="1" applyAlignment="1">
      <alignment vertical="bottom" textRotation="0" wrapText="false" shrinkToFit="false"/>
    </xf>
    <xf xfId="0" fontId="0" numFmtId="0" fillId="0" borderId="20" applyFont="0" applyNumberFormat="0" applyFill="0" applyBorder="1" applyAlignment="1">
      <alignment vertical="bottom" textRotation="0" wrapText="false" shrinkToFit="false"/>
    </xf>
    <xf xfId="0" fontId="37" numFmtId="0" fillId="0" borderId="50" applyFont="1" applyNumberFormat="0" applyFill="0" applyBorder="1" applyAlignment="1">
      <alignment horizontal="left" vertical="center" textRotation="0" wrapText="false" shrinkToFit="false" indent="1"/>
    </xf>
    <xf xfId="0" fontId="36" numFmtId="14" fillId="11" borderId="51" applyFont="1" applyNumberFormat="1" applyFill="1" applyBorder="1" applyAlignment="1">
      <alignment horizontal="left" vertical="center" textRotation="0" wrapText="false" shrinkToFit="false" indent="1"/>
    </xf>
    <xf xfId="0" fontId="36" numFmtId="0" fillId="0" borderId="51" applyFont="1" applyNumberFormat="0" applyFill="0" applyBorder="1" applyAlignment="1">
      <alignment horizontal="left" vertical="center" textRotation="0" wrapText="false" shrinkToFit="false" indent="1"/>
    </xf>
    <xf xfId="0" fontId="0" numFmtId="0" fillId="0" borderId="52" applyFont="0" applyNumberFormat="0" applyFill="0" applyBorder="1" applyAlignment="1">
      <alignment vertical="bottom" textRotation="0" wrapText="false" shrinkToFit="false"/>
    </xf>
    <xf xfId="0" fontId="0" numFmtId="0" fillId="0" borderId="38" applyFont="0" applyNumberFormat="0" applyFill="0" applyBorder="1" applyAlignment="1">
      <alignment vertical="bottom" textRotation="0" wrapText="false" shrinkToFit="false"/>
    </xf>
    <xf xfId="0" fontId="0" numFmtId="0" fillId="0" borderId="53" applyFont="0" applyNumberFormat="0" applyFill="0" applyBorder="1" applyAlignment="1">
      <alignment vertical="bottom" textRotation="0" wrapText="false" shrinkToFit="false"/>
    </xf>
    <xf xfId="0" fontId="0" numFmtId="0" fillId="0" borderId="17" applyFont="0" applyNumberFormat="0" applyFill="0" applyBorder="1" applyAlignment="1">
      <alignment vertical="bottom" textRotation="0" wrapText="false" shrinkToFit="false"/>
    </xf>
    <xf xfId="0" fontId="0" numFmtId="0" fillId="0" borderId="16" applyFont="0" applyNumberFormat="0" applyFill="0" applyBorder="1" applyAlignment="1">
      <alignment vertical="bottom" textRotation="0" wrapText="false" shrinkToFit="false"/>
    </xf>
    <xf xfId="0" fontId="0" numFmtId="0" fillId="0" borderId="54" applyFont="0" applyNumberFormat="0" applyFill="0" applyBorder="1" applyAlignment="1">
      <alignment vertical="bottom" textRotation="0" wrapText="false" shrinkToFit="false"/>
    </xf>
    <xf xfId="0" fontId="0" numFmtId="0" fillId="0" borderId="40" applyFont="0" applyNumberFormat="0" applyFill="0" applyBorder="1" applyAlignment="1">
      <alignment vertical="bottom" textRotation="0" wrapText="false" shrinkToFit="false"/>
    </xf>
    <xf xfId="0" fontId="0" numFmtId="0" fillId="0" borderId="46" applyFont="0" applyNumberFormat="0" applyFill="0" applyBorder="1" applyAlignment="1">
      <alignment vertical="bottom" textRotation="0" wrapText="false" shrinkToFit="false"/>
    </xf>
    <xf xfId="0" fontId="0" numFmtId="0" fillId="0" borderId="21" applyFont="0" applyNumberFormat="0" applyFill="0" applyBorder="1" applyAlignment="1">
      <alignment vertical="bottom" textRotation="0" wrapText="false" shrinkToFit="false"/>
    </xf>
    <xf xfId="0" fontId="0" numFmtId="0" fillId="0" borderId="37" applyFont="0" applyNumberFormat="0" applyFill="0" applyBorder="1" applyAlignment="1">
      <alignment vertical="bottom" textRotation="0" wrapText="false" shrinkToFit="false"/>
    </xf>
    <xf xfId="0" fontId="35" numFmtId="0" fillId="0" borderId="33" applyFont="1" applyNumberFormat="0" applyFill="0" applyBorder="1" applyAlignment="1">
      <alignment horizontal="left" vertical="center" textRotation="0" wrapText="false" shrinkToFit="false" indent="1"/>
    </xf>
    <xf xfId="0" fontId="0" numFmtId="0" fillId="0" borderId="49" applyFont="0" applyNumberFormat="0" applyFill="0" applyBorder="1" applyAlignment="1">
      <alignment vertical="bottom" textRotation="0" wrapText="false" shrinkToFit="false"/>
    </xf>
    <xf xfId="0" fontId="0" numFmtId="0" fillId="0" borderId="48" applyFont="0" applyNumberFormat="0" applyFill="0" applyBorder="1" applyAlignment="1">
      <alignment vertical="bottom" textRotation="0" wrapText="false" shrinkToFit="false"/>
    </xf>
    <xf xfId="0" fontId="0" numFmtId="0" fillId="0" borderId="32" applyFont="0" applyNumberFormat="0" applyFill="0" applyBorder="1" applyAlignment="1">
      <alignment vertical="bottom" textRotation="0" wrapText="false" shrinkToFit="false"/>
    </xf>
    <xf xfId="0" fontId="0" numFmtId="0" fillId="0" borderId="55" applyFont="0" applyNumberFormat="0" applyFill="0" applyBorder="1" applyAlignment="1">
      <alignment vertical="bottom" textRotation="0" wrapText="false" shrinkToFit="false"/>
    </xf>
    <xf xfId="0" fontId="0" numFmtId="0" fillId="0" borderId="30" applyFont="0" applyNumberFormat="0" applyFill="0" applyBorder="1" applyAlignment="1">
      <alignment vertical="bottom" textRotation="0" wrapText="false" shrinkToFit="false"/>
    </xf>
    <xf xfId="0" fontId="62" numFmtId="0" fillId="0" borderId="8" applyFont="1" applyNumberFormat="0" applyFill="0" applyBorder="1" applyAlignment="1">
      <alignment horizontal="center" vertical="center" textRotation="0" wrapText="false" shrinkToFit="false"/>
    </xf>
    <xf xfId="0" fontId="12" numFmtId="0" fillId="0" borderId="6" applyFont="1" applyNumberFormat="0" applyFill="0" applyBorder="1" applyAlignment="1">
      <alignment horizontal="left" vertical="center" textRotation="0" wrapText="false" shrinkToFit="false"/>
    </xf>
    <xf xfId="0" fontId="63" numFmtId="165" fillId="0" borderId="8" applyFont="1" applyNumberFormat="1" applyFill="0" applyBorder="1" applyAlignment="1">
      <alignment horizontal="center" vertical="center" textRotation="0" wrapText="false" shrinkToFit="false"/>
    </xf>
    <xf xfId="0" fontId="6" numFmtId="49" fillId="0" borderId="15" applyFont="1" applyNumberFormat="1" applyFill="0" applyBorder="1" applyAlignment="1">
      <alignment horizontal="left" vertical="center" textRotation="0" wrapText="true" shrinkToFit="false" indent="1"/>
    </xf>
    <xf xfId="0" fontId="64" numFmtId="0" fillId="0" borderId="44" applyFont="1" applyNumberFormat="0" applyFill="0" applyBorder="1" applyAlignment="1">
      <alignment horizontal="center" vertical="center" textRotation="0" wrapText="false" shrinkToFit="false"/>
    </xf>
    <xf xfId="0" fontId="14" numFmtId="0" fillId="0" borderId="44" applyFont="1" applyNumberFormat="0" applyFill="0" applyBorder="1" applyAlignment="1">
      <alignment horizontal="center" vertical="center" textRotation="0" wrapText="false" shrinkToFit="false"/>
    </xf>
    <xf xfId="0" fontId="14" numFmtId="0" fillId="0" borderId="15" applyFont="1" applyNumberFormat="0" applyFill="0" applyBorder="1" applyAlignment="1">
      <alignment horizontal="center" vertical="center" textRotation="0" wrapText="false" shrinkToFit="false"/>
    </xf>
    <xf xfId="0" fontId="52" numFmtId="49" fillId="11" borderId="15" applyFont="1" applyNumberFormat="1" applyFill="1" applyBorder="1" applyAlignment="1">
      <alignment horizontal="left" vertical="center" textRotation="0" wrapText="true" shrinkToFit="false" indent="1"/>
    </xf>
    <xf xfId="0" fontId="6" numFmtId="0" fillId="0" borderId="15" applyFont="1" applyNumberFormat="0" applyFill="0" applyBorder="1" applyAlignment="1">
      <alignment horizontal="left" vertical="center" textRotation="0" wrapText="false" shrinkToFit="false" indent="1"/>
    </xf>
    <xf xfId="0" fontId="14" numFmtId="0" fillId="11" borderId="15" applyFont="1" applyNumberFormat="0" applyFill="1" applyBorder="1" applyAlignment="1">
      <alignment horizontal="center" vertical="center" textRotation="0" wrapText="false" shrinkToFit="false"/>
    </xf>
    <xf xfId="0" fontId="65" numFmtId="49" fillId="0" borderId="44" applyFont="1" applyNumberFormat="1" applyFill="0" applyBorder="1" applyAlignment="1">
      <alignment horizontal="center" vertical="center" textRotation="0" wrapText="true" shrinkToFit="false"/>
    </xf>
    <xf xfId="0" fontId="66" numFmtId="0" fillId="11" borderId="8" applyFont="1" applyNumberFormat="0" applyFill="1" applyBorder="1" applyAlignment="1">
      <alignment horizontal="center" vertical="center" textRotation="0" wrapText="false" shrinkToFit="false"/>
    </xf>
    <xf xfId="0" fontId="14" numFmtId="165" fillId="0" borderId="15" applyFont="1" applyNumberFormat="1" applyFill="0" applyBorder="1" applyAlignment="1">
      <alignment horizontal="center" vertical="center" textRotation="0" wrapText="false" shrinkToFit="false"/>
    </xf>
    <xf xfId="0" fontId="9" numFmtId="0" fillId="0" borderId="8" applyFont="1" applyNumberFormat="0" applyFill="0" applyBorder="1" applyAlignment="1">
      <alignment horizontal="center" vertical="center" textRotation="0" wrapText="false" shrinkToFit="false"/>
    </xf>
    <xf xfId="0" fontId="17" numFmtId="174" fillId="2" borderId="8" applyFont="1" applyNumberFormat="1" applyFill="1" applyBorder="1" applyAlignment="1">
      <alignment horizontal="center" vertical="center" textRotation="0" wrapText="true" shrinkToFit="false"/>
    </xf>
    <xf xfId="0" fontId="17" numFmtId="175" fillId="2" borderId="8" applyFont="1" applyNumberFormat="1" applyFill="1" applyBorder="1" applyAlignment="1">
      <alignment horizontal="center" vertical="center" textRotation="0" wrapText="false" shrinkToFit="false"/>
    </xf>
    <xf xfId="0" fontId="17" numFmtId="176" fillId="2" borderId="8" applyFont="1" applyNumberFormat="1" applyFill="1" applyBorder="1" applyAlignment="1">
      <alignment horizontal="center" vertical="center" textRotation="0" wrapText="true" shrinkToFit="false"/>
    </xf>
    <xf xfId="0" fontId="17" numFmtId="173" fillId="2" borderId="8" applyFont="1" applyNumberFormat="1" applyFill="1" applyBorder="1" applyAlignment="1">
      <alignment horizontal="center" vertical="center" textRotation="0" wrapText="true" shrinkToFit="false"/>
    </xf>
    <xf xfId="0" fontId="14" numFmtId="173" fillId="0" borderId="3" applyFont="1" applyNumberFormat="1" applyFill="0" applyBorder="1" applyAlignment="1">
      <alignment horizontal="center" vertical="center" textRotation="0" wrapText="false" shrinkToFit="false"/>
    </xf>
    <xf xfId="0" fontId="11" numFmtId="0" fillId="11" borderId="56" applyFont="1" applyNumberFormat="0" applyFill="1" applyBorder="1" applyAlignment="1">
      <alignment horizontal="center" vertical="center" textRotation="0" wrapText="false" shrinkToFit="false"/>
    </xf>
    <xf xfId="0" fontId="10" numFmtId="164" fillId="0" borderId="0" applyFont="1" applyNumberFormat="1" applyFill="0" applyBorder="0" applyAlignment="1">
      <alignment vertical="center" textRotation="0" wrapText="false" shrinkToFit="false"/>
    </xf>
    <xf xfId="0" fontId="14" numFmtId="173" fillId="0" borderId="7" applyFont="1" applyNumberFormat="1" applyFill="0" applyBorder="1" applyAlignment="1">
      <alignment horizontal="center" vertical="center" textRotation="0" wrapText="false" shrinkToFit="false"/>
    </xf>
    <xf xfId="0" fontId="39" numFmtId="0" fillId="3" borderId="8" applyFont="1" applyNumberFormat="0" applyFill="1" applyBorder="1" applyAlignment="1">
      <alignment horizontal="left" vertical="center" textRotation="0" wrapText="true" shrinkToFit="false"/>
    </xf>
    <xf xfId="0" fontId="8" numFmtId="166" fillId="0" borderId="57" applyFont="1" applyNumberFormat="1" applyFill="0" applyBorder="1" applyAlignment="1">
      <alignment horizontal="center" vertical="center" textRotation="0" wrapText="false" shrinkToFit="true"/>
    </xf>
    <xf xfId="0" fontId="11" numFmtId="0" fillId="3" borderId="56" applyFont="1" applyNumberFormat="0" applyFill="1" applyBorder="1" applyAlignment="1">
      <alignment horizontal="center" vertical="center" textRotation="0" wrapText="false" shrinkToFit="false"/>
    </xf>
    <xf xfId="0" fontId="11" numFmtId="164" fillId="0" borderId="8" applyFont="1" applyNumberFormat="1" applyFill="0" applyBorder="1" applyAlignment="1">
      <alignment horizontal="right" vertical="center" textRotation="0" wrapText="false" shrinkToFit="false"/>
    </xf>
    <xf xfId="0" fontId="11" numFmtId="173" fillId="0" borderId="8" applyFont="1" applyNumberFormat="1" applyFill="0" applyBorder="1" applyAlignment="1">
      <alignment vertical="center" textRotation="0" wrapText="false" shrinkToFit="false"/>
    </xf>
    <xf xfId="0" fontId="8" numFmtId="166" fillId="0" borderId="58" applyFont="1" applyNumberFormat="1" applyFill="0" applyBorder="1" applyAlignment="1">
      <alignment horizontal="center" vertical="center" textRotation="0" wrapText="false" shrinkToFit="true"/>
    </xf>
    <xf xfId="0" fontId="0" numFmtId="0" fillId="0" borderId="43" applyFont="0" applyNumberFormat="0" applyFill="0" applyBorder="1" applyAlignment="1">
      <alignment vertical="bottom" textRotation="0" wrapText="false" shrinkToFit="false"/>
    </xf>
    <xf xfId="0" fontId="0" numFmtId="0" fillId="0" borderId="42" applyFont="0" applyNumberFormat="0" applyFill="0" applyBorder="1" applyAlignment="1">
      <alignment vertical="bottom" textRotation="0" wrapText="false" shrinkToFit="false"/>
    </xf>
    <xf xfId="0" fontId="52" numFmtId="168" fillId="11" borderId="15" applyFont="1" applyNumberFormat="1" applyFill="1" applyBorder="1" applyAlignment="1">
      <alignment horizontal="left" vertical="center" textRotation="0" wrapText="true" shrinkToFit="false" indent="1"/>
    </xf>
    <xf xfId="0" fontId="11" numFmtId="167" fillId="0" borderId="15" applyFont="1" applyNumberFormat="1" applyFill="0" applyBorder="1" applyAlignment="1">
      <alignment horizontal="right" vertical="center" textRotation="0" wrapText="false" shrinkToFit="false"/>
    </xf>
    <xf xfId="0" fontId="20" numFmtId="177" fillId="0" borderId="59" applyFont="1" applyNumberFormat="1" applyFill="0" applyBorder="1" applyAlignment="1">
      <alignment horizontal="center" vertical="center" textRotation="0" wrapText="true" shrinkToFit="false"/>
    </xf>
    <xf xfId="0" fontId="0" numFmtId="0" fillId="0" borderId="60" applyFont="0" applyNumberFormat="0" applyFill="0" applyBorder="1" applyAlignment="1">
      <alignment vertical="bottom" textRotation="0" wrapText="false" shrinkToFit="false"/>
    </xf>
    <xf xfId="0" fontId="20" numFmtId="178" fillId="11" borderId="61" applyFont="1" applyNumberFormat="1" applyFill="1" applyBorder="1" applyAlignment="1">
      <alignment horizontal="center" vertical="center" textRotation="0" wrapText="true" shrinkToFit="false"/>
    </xf>
    <xf xfId="0" fontId="0" numFmtId="0" fillId="0" borderId="62" applyFont="0" applyNumberFormat="0" applyFill="0" applyBorder="1" applyAlignment="1">
      <alignment vertical="bottom" textRotation="0" wrapText="false" shrinkToFit="false"/>
    </xf>
    <xf xfId="0" fontId="20" numFmtId="168" fillId="11" borderId="61" applyFont="1" applyNumberFormat="1" applyFill="1" applyBorder="1" applyAlignment="1">
      <alignment horizontal="center" vertical="center" textRotation="0" wrapText="true" shrinkToFit="false"/>
    </xf>
    <xf xfId="0" fontId="20" numFmtId="167" fillId="11" borderId="61" applyFont="1" applyNumberFormat="1" applyFill="1" applyBorder="1" applyAlignment="1">
      <alignment horizontal="right" vertical="center" textRotation="0" wrapText="false" shrinkToFit="false"/>
    </xf>
    <xf xfId="0" fontId="20" numFmtId="167" fillId="3" borderId="61" applyFont="1" applyNumberFormat="1" applyFill="1" applyBorder="1" applyAlignment="1">
      <alignment horizontal="right" vertical="center" textRotation="0" wrapText="false" shrinkToFit="false"/>
    </xf>
    <xf xfId="0" fontId="18" numFmtId="179" fillId="0" borderId="0" applyFont="1" applyNumberFormat="1" applyFill="0" applyBorder="0" applyAlignment="1">
      <alignment vertical="bottom" textRotation="0" wrapText="false" shrinkToFit="false"/>
    </xf>
    <xf xfId="0" fontId="67" numFmtId="0" fillId="4" borderId="13" applyFont="1" applyNumberFormat="0" applyFill="1" applyBorder="1" applyAlignment="1">
      <alignment horizontal="center" vertical="center" textRotation="0" wrapText="false" shrinkToFit="false"/>
    </xf>
    <xf xfId="0" fontId="0" numFmtId="0" fillId="0" borderId="63" applyFont="0" applyNumberFormat="0" applyFill="0" applyBorder="1" applyAlignment="1">
      <alignment vertical="bottom" textRotation="0" wrapText="false" shrinkToFit="false"/>
    </xf>
    <xf xfId="0" fontId="0" numFmtId="0" fillId="0" borderId="64" applyFont="0" applyNumberFormat="0" applyFill="0" applyBorder="1" applyAlignment="1">
      <alignment vertical="bottom" textRotation="0" wrapText="false" shrinkToFit="false"/>
    </xf>
    <xf xfId="0" fontId="20" numFmtId="173" fillId="3" borderId="13" applyFont="1" applyNumberFormat="1" applyFill="1" applyBorder="1" applyAlignment="1">
      <alignment horizontal="left" vertical="center" textRotation="0" wrapText="false" shrinkToFit="false"/>
    </xf>
    <xf xfId="0" fontId="20" numFmtId="173" fillId="0" borderId="13" applyFont="1" applyNumberFormat="1" applyFill="0" applyBorder="1" applyAlignment="1">
      <alignment horizontal="left" vertical="center" textRotation="0" wrapText="false" shrinkToFit="false"/>
    </xf>
    <xf xfId="0" fontId="19" numFmtId="0" fillId="0" borderId="13" applyFont="1" applyNumberFormat="0" applyFill="0" applyBorder="1" applyAlignment="1">
      <alignment horizontal="center" vertical="center" textRotation="0" wrapText="true" shrinkToFit="false"/>
    </xf>
    <xf xfId="0" fontId="20" numFmtId="167" fillId="11" borderId="13" applyFont="1" applyNumberFormat="1" applyFill="1" applyBorder="1" applyAlignment="1">
      <alignment horizontal="right" vertical="center" textRotation="0" wrapText="true" shrinkToFit="false"/>
    </xf>
    <xf xfId="0" fontId="20" numFmtId="167" fillId="0" borderId="13" applyFont="1" applyNumberFormat="1" applyFill="0" applyBorder="1" applyAlignment="1">
      <alignment horizontal="right" vertical="center" textRotation="0" wrapText="true" shrinkToFit="false"/>
    </xf>
    <xf xfId="0" fontId="20" numFmtId="167" fillId="11" borderId="13" applyFont="1" applyNumberFormat="1" applyFill="1" applyBorder="1" applyAlignment="1">
      <alignment horizontal="right" vertical="center" textRotation="0" wrapText="false" shrinkToFit="false"/>
    </xf>
    <xf xfId="0" fontId="20" numFmtId="167" fillId="6" borderId="65" applyFont="1" applyNumberFormat="1" applyFill="1" applyBorder="1" applyAlignment="1">
      <alignment horizontal="right" vertical="center" textRotation="0" wrapText="false" shrinkToFit="false"/>
    </xf>
    <xf xfId="0" fontId="20" numFmtId="167" fillId="6" borderId="64" applyFont="1" applyNumberFormat="1" applyFill="1" applyBorder="1" applyAlignment="1">
      <alignment horizontal="right" vertical="center" textRotation="0" wrapText="false" shrinkToFit="false"/>
    </xf>
    <xf xfId="0" fontId="68" numFmtId="0" fillId="0" borderId="2" applyFont="1" applyNumberFormat="0" applyFill="0" applyBorder="1" applyAlignment="1">
      <alignment horizontal="center" vertical="center" textRotation="0" wrapText="false" shrinkToFit="false"/>
    </xf>
    <xf xfId="0" fontId="69" numFmtId="0" fillId="0" borderId="2" applyFont="1" applyNumberFormat="0" applyFill="0" applyBorder="1" applyAlignment="1">
      <alignment horizontal="center" vertical="center" textRotation="0" wrapText="false" shrinkToFit="false"/>
    </xf>
    <xf xfId="0" fontId="70" numFmtId="0" fillId="0" borderId="0" applyFont="1" applyNumberFormat="0" applyFill="0" applyBorder="0" applyAlignment="1">
      <alignment horizontal="center" vertical="center" textRotation="0" wrapText="false" shrinkToFit="false"/>
    </xf>
    <xf xfId="0" fontId="37" numFmtId="0" fillId="0" borderId="29" applyFont="1" applyNumberFormat="0" applyFill="0" applyBorder="1" applyAlignment="1">
      <alignment horizontal="left" vertical="center" textRotation="0" wrapText="false" shrinkToFit="false" indent="1"/>
    </xf>
    <xf xfId="0" fontId="11" numFmtId="0" fillId="0" borderId="56" applyFont="1" applyNumberFormat="0" applyFill="0" applyBorder="1" applyAlignment="1">
      <alignment horizontal="center" vertical="center" textRotation="0" wrapText="false" shrinkToFit="false"/>
    </xf>
    <xf xfId="0" fontId="20" numFmtId="49" fillId="0" borderId="61" applyFont="1" applyNumberFormat="1" applyFill="0" applyBorder="1" applyAlignment="1">
      <alignment horizontal="center" vertical="center" textRotation="0" wrapText="true" shrinkToFit="false"/>
    </xf>
    <xf xfId="0" fontId="24" numFmtId="49" fillId="0" borderId="61" applyFont="1" applyNumberFormat="1" applyFill="0" applyBorder="1" applyAlignment="1">
      <alignment horizontal="center" vertical="center" textRotation="0" wrapText="true" shrinkToFit="false"/>
    </xf>
    <xf xfId="0" fontId="19" numFmtId="49" fillId="0" borderId="61" applyFont="1" applyNumberFormat="1" applyFill="0" applyBorder="1" applyAlignment="1">
      <alignment horizontal="center" vertical="center" textRotation="0" wrapText="true" shrinkToFit="false"/>
    </xf>
    <xf xfId="0" fontId="0" numFmtId="0" fillId="13" borderId="17" applyFont="0" applyNumberFormat="0" applyFill="1" applyBorder="1" applyAlignment="1">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2.xml.rels><?xml version="1.0" encoding="UTF-8" standalone="yes"?>
<Relationships xmlns="http://schemas.openxmlformats.org/package/2006/relationships"><Relationship Id="rId1" Type="http://schemas.openxmlformats.org/officeDocument/2006/relationships/image" Target="../media/569af49088e38c4f13a9e54e86b2f9b9.png"/><Relationship Id="rId2" Type="http://schemas.openxmlformats.org/officeDocument/2006/relationships/image" Target="../media/752a7a8a72b11b12a257580f05cb9613.png"/></Relationships>
</file>

<file path=xl/drawings/_rels/drawing3.xml.rels><?xml version="1.0" encoding="UTF-8" standalone="yes"?>
<Relationships xmlns="http://schemas.openxmlformats.org/package/2006/relationships"><Relationship Id="rId1" Type="http://schemas.openxmlformats.org/officeDocument/2006/relationships/image" Target="../media/569af49088e38c4f13a9e54e86b2f9b9.png"/><Relationship Id="rId2" Type="http://schemas.openxmlformats.org/officeDocument/2006/relationships/image" Target="../media/a09092a2edca260f9df8c67b86ef561e.png"/><Relationship Id="rId3" Type="http://schemas.openxmlformats.org/officeDocument/2006/relationships/image" Target="../media/5ebe8298e3bd7a095691fdb55ed7fa84.jpeg"/></Relationships>
</file>

<file path=xl/drawings/_rels/drawing4.xml.rels><?xml version="1.0" encoding="UTF-8" standalone="yes"?>
<Relationships xmlns="http://schemas.openxmlformats.org/package/2006/relationships"><Relationship Id="rId1" Type="http://schemas.openxmlformats.org/officeDocument/2006/relationships/image" Target="../media/569af49088e38c4f13a9e54e86b2f9b9.png"/><Relationship Id="rId2" Type="http://schemas.openxmlformats.org/officeDocument/2006/relationships/image" Target="../media/ac64f8f28663e89a5f9aead0ddc023f6.jpeg"/><Relationship Id="rId3" Type="http://schemas.openxmlformats.org/officeDocument/2006/relationships/image" Target="../media/156fbd403a0e81169bdbc41eb3bb6bdb.png"/></Relationships>
</file>

<file path=xl/drawings/_rels/drawing5.xml.rels><?xml version="1.0" encoding="UTF-8" standalone="yes"?>
<Relationships xmlns="http://schemas.openxmlformats.org/package/2006/relationships"><Relationship Id="rId1" Type="http://schemas.openxmlformats.org/officeDocument/2006/relationships/image" Target="../media/087f20750a8665de900e9105c44e6c33.jpeg"/><Relationship Id="rId2" Type="http://schemas.openxmlformats.org/officeDocument/2006/relationships/image" Target="../media/4eda107f38f3a7a2b0e12e1b56a1cf03.jpeg"/></Relationships>
</file>

<file path=xl/drawings/_rels/drawing6.xml.rels><?xml version="1.0" encoding="UTF-8" standalone="yes"?>
<Relationships xmlns="http://schemas.openxmlformats.org/package/2006/relationships"><Relationship Id="rId1" Type="http://schemas.openxmlformats.org/officeDocument/2006/relationships/image" Target="../media/982787e9e4aef6be74f8bc3c09dc24ce.jpeg"/><Relationship Id="rId2" Type="http://schemas.openxmlformats.org/officeDocument/2006/relationships/image" Target="../media/0565266ccbb200f2c34be90c134fa29b.jpeg"/></Relationships>
</file>

<file path=xl/drawings/_rels/drawing7.xml.rels><?xml version="1.0" encoding="UTF-8" standalone="yes"?>
<Relationships xmlns="http://schemas.openxmlformats.org/package/2006/relationships"><Relationship Id="rId1" Type="http://schemas.openxmlformats.org/officeDocument/2006/relationships/image" Target="../media/00f905b44070ebc8f791f5d653e1d723.jpeg"/><Relationship Id="rId2" Type="http://schemas.openxmlformats.org/officeDocument/2006/relationships/image" Target="../media/a27774a752e32b48ba61d029d7c429df.jpeg"/><Relationship Id="rId3" Type="http://schemas.openxmlformats.org/officeDocument/2006/relationships/image" Target="../media/27488e39ed6bcc55f67cb14f720b7299.png"/></Relationships>
</file>

<file path=xl/drawings/drawing2.xml><?xml version="1.0" encoding="utf-8"?>
<xdr:wsDr xmlns:xdr="http://schemas.openxmlformats.org/drawingml/2006/spreadsheetDrawing" xmlns:a="http://schemas.openxmlformats.org/drawingml/2006/main">
  <xdr:oneCellAnchor>
    <xdr:from>
      <xdr:col>14</xdr:col>
      <xdr:colOff>600075</xdr:colOff>
      <xdr:row>12</xdr:row>
      <xdr:rowOff>171450</xdr:rowOff>
    </xdr:from>
    <xdr:ext cx="1057275" cy="1028700"/>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209550</xdr:colOff>
      <xdr:row>10</xdr:row>
      <xdr:rowOff>285750</xdr:rowOff>
    </xdr:from>
    <xdr:to>
      <xdr:col>8</xdr:col>
      <xdr:colOff>428625</xdr:colOff>
      <xdr:row>15</xdr:row>
      <xdr:rowOff>38100</xdr:rowOff>
    </xdr:to>
    <xdr:pic>
      <xdr:nvPicPr>
        <xdr:cNvPr id="2" name="그림 30" descr=""/>
        <xdr:cNvPicPr>
          <a:picLocks noChangeAspect="1"/>
        </xdr:cNvPicPr>
      </xdr:nvPicPr>
      <xdr:blipFill>
        <a:blip xmlns:r="http://schemas.openxmlformats.org/officeDocument/2006/relationships" r:embed="rId2"/>
        <a:stretch>
          <a:fillRect/>
        </a:stretch>
      </xdr:blipFill>
      <xdr:spPr>
        <a:xfrm rot="0">
          <a:ext cx="3695700" cy="1428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14</xdr:col>
      <xdr:colOff>638175</xdr:colOff>
      <xdr:row>12</xdr:row>
      <xdr:rowOff>57150</xdr:rowOff>
    </xdr:from>
    <xdr:ext cx="1057275" cy="1028700"/>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209550</xdr:colOff>
      <xdr:row>10</xdr:row>
      <xdr:rowOff>285750</xdr:rowOff>
    </xdr:from>
    <xdr:to>
      <xdr:col>8</xdr:col>
      <xdr:colOff>371475</xdr:colOff>
      <xdr:row>15</xdr:row>
      <xdr:rowOff>38100</xdr:rowOff>
    </xdr:to>
    <xdr:pic>
      <xdr:nvPicPr>
        <xdr:cNvPr id="2" name="그림 3" descr=""/>
        <xdr:cNvPicPr>
          <a:picLocks noChangeAspect="1"/>
        </xdr:cNvPicPr>
      </xdr:nvPicPr>
      <xdr:blipFill>
        <a:blip xmlns:r="http://schemas.openxmlformats.org/officeDocument/2006/relationships" r:embed="rId2"/>
        <a:stretch>
          <a:fillRect/>
        </a:stretch>
      </xdr:blipFill>
      <xdr:spPr>
        <a:xfrm rot="0">
          <a:ext cx="3695700" cy="1428750"/>
        </a:xfrm>
        <a:prstGeom prst="rect">
          <a:avLst/>
        </a:prstGeom>
      </xdr:spPr>
    </xdr:pic>
    <xdr:clientData/>
  </xdr:twoCellAnchor>
  <xdr:twoCellAnchor editAs="oneCell">
    <xdr:from>
      <xdr:col>1</xdr:col>
      <xdr:colOff>28575</xdr:colOff>
      <xdr:row>11</xdr:row>
      <xdr:rowOff>47625</xdr:rowOff>
    </xdr:from>
    <xdr:to>
      <xdr:col>8</xdr:col>
      <xdr:colOff>285750</xdr:colOff>
      <xdr:row>15</xdr:row>
      <xdr:rowOff>28575</xdr:rowOff>
    </xdr:to>
    <xdr:pic>
      <xdr:nvPicPr>
        <xdr:cNvPr id="3" name="그림 12" descr=""/>
        <xdr:cNvPicPr>
          <a:picLocks noChangeAspect="1"/>
        </xdr:cNvPicPr>
      </xdr:nvPicPr>
      <xdr:blipFill>
        <a:blip xmlns:r="http://schemas.openxmlformats.org/officeDocument/2006/relationships" r:embed="rId3"/>
        <a:stretch>
          <a:fillRect/>
        </a:stretch>
      </xdr:blipFill>
      <xdr:spPr>
        <a:xfrm rot="0">
          <a:ext cx="3543300" cy="1371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10</xdr:col>
      <xdr:colOff>733425</xdr:colOff>
      <xdr:row>32</xdr:row>
      <xdr:rowOff>447675</xdr:rowOff>
    </xdr:from>
    <xdr:ext cx="1247775" cy="1228725"/>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95250</xdr:colOff>
      <xdr:row>55</xdr:row>
      <xdr:rowOff>47625</xdr:rowOff>
    </xdr:from>
    <xdr:to>
      <xdr:col>14</xdr:col>
      <xdr:colOff>352425</xdr:colOff>
      <xdr:row>61</xdr:row>
      <xdr:rowOff>114300</xdr:rowOff>
    </xdr:to>
    <xdr:pic>
      <xdr:nvPicPr>
        <xdr:cNvPr id="2" name="그림 2" descr=""/>
        <xdr:cNvPicPr>
          <a:picLocks noChangeAspect="1"/>
        </xdr:cNvPicPr>
      </xdr:nvPicPr>
      <xdr:blipFill>
        <a:blip xmlns:r="http://schemas.openxmlformats.org/officeDocument/2006/relationships" r:embed="rId2"/>
        <a:stretch>
          <a:fillRect/>
        </a:stretch>
      </xdr:blipFill>
      <xdr:spPr>
        <a:xfrm rot="0">
          <a:ext cx="11010900" cy="1352550"/>
        </a:xfrm>
        <a:prstGeom prst="rect">
          <a:avLst/>
        </a:prstGeom>
      </xdr:spPr>
    </xdr:pic>
    <xdr:clientData/>
  </xdr:twoCellAnchor>
  <xdr:twoCellAnchor editAs="oneCell">
    <xdr:from>
      <xdr:col>1</xdr:col>
      <xdr:colOff>123825</xdr:colOff>
      <xdr:row>48</xdr:row>
      <xdr:rowOff>161925</xdr:rowOff>
    </xdr:from>
    <xdr:to>
      <xdr:col>3</xdr:col>
      <xdr:colOff>314325</xdr:colOff>
      <xdr:row>57</xdr:row>
      <xdr:rowOff>57150</xdr:rowOff>
    </xdr:to>
    <xdr:pic>
      <xdr:nvPicPr>
        <xdr:cNvPr id="3" name="그림 7" descr=""/>
        <xdr:cNvPicPr>
          <a:picLocks noChangeAspect="1"/>
        </xdr:cNvPicPr>
      </xdr:nvPicPr>
      <xdr:blipFill>
        <a:blip xmlns:r="http://schemas.openxmlformats.org/officeDocument/2006/relationships" r:embed="rId3"/>
        <a:stretch>
          <a:fillRect/>
        </a:stretch>
      </xdr:blipFill>
      <xdr:spPr>
        <a:xfrm rot="180000">
          <a:ext cx="1733550" cy="2095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247650</xdr:colOff>
      <xdr:row>32</xdr:row>
      <xdr:rowOff>200025</xdr:rowOff>
    </xdr:from>
    <xdr:to>
      <xdr:col>9</xdr:col>
      <xdr:colOff>19050</xdr:colOff>
      <xdr:row>39</xdr:row>
      <xdr:rowOff>28575</xdr:rowOff>
    </xdr:to>
    <xdr:pic>
      <xdr:nvPicPr>
        <xdr:cNvPr id="1" name="Picture 2" descr=""/>
        <xdr:cNvPicPr>
          <a:picLocks noChangeAspect="1"/>
        </xdr:cNvPicPr>
      </xdr:nvPicPr>
      <xdr:blipFill>
        <a:blip xmlns:r="http://schemas.openxmlformats.org/officeDocument/2006/relationships" r:embed="rId1"/>
        <a:stretch>
          <a:fillRect/>
        </a:stretch>
      </xdr:blipFill>
      <xdr:spPr>
        <a:xfrm rot="0">
          <a:ext cx="2762250" cy="1304925"/>
        </a:xfrm>
        <a:prstGeom prst="rect">
          <a:avLst/>
        </a:prstGeom>
      </xdr:spPr>
    </xdr:pic>
    <xdr:clientData/>
  </xdr:twoCellAnchor>
  <xdr:twoCellAnchor editAs="oneCell">
    <xdr:from>
      <xdr:col>6</xdr:col>
      <xdr:colOff>161925</xdr:colOff>
      <xdr:row>8</xdr:row>
      <xdr:rowOff>114300</xdr:rowOff>
    </xdr:from>
    <xdr:to>
      <xdr:col>8</xdr:col>
      <xdr:colOff>447675</xdr:colOff>
      <xdr:row>8</xdr:row>
      <xdr:rowOff>790575</xdr:rowOff>
    </xdr:to>
    <xdr:pic>
      <xdr:nvPicPr>
        <xdr:cNvPr id="2" name="그림 3" descr=""/>
        <xdr:cNvPicPr>
          <a:picLocks noChangeAspect="1"/>
        </xdr:cNvPicPr>
      </xdr:nvPicPr>
      <xdr:blipFill>
        <a:blip xmlns:r="http://schemas.openxmlformats.org/officeDocument/2006/relationships" r:embed="rId2"/>
        <a:stretch>
          <a:fillRect/>
        </a:stretch>
      </xdr:blipFill>
      <xdr:spPr>
        <a:xfrm rot="0">
          <a:ext cx="2266950" cy="6762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247650</xdr:colOff>
      <xdr:row>32</xdr:row>
      <xdr:rowOff>200025</xdr:rowOff>
    </xdr:from>
    <xdr:to>
      <xdr:col>8</xdr:col>
      <xdr:colOff>1028700</xdr:colOff>
      <xdr:row>39</xdr:row>
      <xdr:rowOff>28575</xdr:rowOff>
    </xdr:to>
    <xdr:pic>
      <xdr:nvPicPr>
        <xdr:cNvPr id="1" name="Picture 2" descr=""/>
        <xdr:cNvPicPr>
          <a:picLocks noChangeAspect="1"/>
        </xdr:cNvPicPr>
      </xdr:nvPicPr>
      <xdr:blipFill>
        <a:blip xmlns:r="http://schemas.openxmlformats.org/officeDocument/2006/relationships" r:embed="rId1"/>
        <a:stretch>
          <a:fillRect/>
        </a:stretch>
      </xdr:blipFill>
      <xdr:spPr>
        <a:xfrm rot="0">
          <a:ext cx="2762250" cy="1295400"/>
        </a:xfrm>
        <a:prstGeom prst="rect">
          <a:avLst/>
        </a:prstGeom>
      </xdr:spPr>
    </xdr:pic>
    <xdr:clientData/>
  </xdr:twoCellAnchor>
  <xdr:twoCellAnchor editAs="oneCell">
    <xdr:from>
      <xdr:col>6</xdr:col>
      <xdr:colOff>161925</xdr:colOff>
      <xdr:row>8</xdr:row>
      <xdr:rowOff>114300</xdr:rowOff>
    </xdr:from>
    <xdr:to>
      <xdr:col>8</xdr:col>
      <xdr:colOff>447675</xdr:colOff>
      <xdr:row>8</xdr:row>
      <xdr:rowOff>790575</xdr:rowOff>
    </xdr:to>
    <xdr:pic>
      <xdr:nvPicPr>
        <xdr:cNvPr id="2" name="그림 3" descr=""/>
        <xdr:cNvPicPr>
          <a:picLocks noChangeAspect="1"/>
        </xdr:cNvPicPr>
      </xdr:nvPicPr>
      <xdr:blipFill>
        <a:blip xmlns:r="http://schemas.openxmlformats.org/officeDocument/2006/relationships" r:embed="rId2"/>
        <a:stretch>
          <a:fillRect/>
        </a:stretch>
      </xdr:blipFill>
      <xdr:spPr>
        <a:xfrm rot="0">
          <a:ext cx="2266950" cy="6762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343150" cy="523875"/>
    <xdr:pic>
      <xdr:nvPicPr>
        <xdr:cNvPr id="1" name="Picture 2" descr="C:\Users\JC\Desktop\work\브로셔\브로셔 이미지\싼카.jp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0</xdr:row>
      <xdr:rowOff>523875</xdr:rowOff>
    </xdr:from>
    <xdr:ext cx="3343275" cy="561975"/>
    <xdr:pic>
      <xdr:nvPicPr>
        <xdr:cNvPr id="2" name="Picture 3" descr="C:\Users\JC\Desktop\work\브로셔\브로셔 이미지\싼카2.jpg"/>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1</xdr:col>
      <xdr:colOff>609600</xdr:colOff>
      <xdr:row>27</xdr:row>
      <xdr:rowOff>38100</xdr:rowOff>
    </xdr:from>
    <xdr:to>
      <xdr:col>3</xdr:col>
      <xdr:colOff>247650</xdr:colOff>
      <xdr:row>32</xdr:row>
      <xdr:rowOff>95250</xdr:rowOff>
    </xdr:to>
    <xdr:pic>
      <xdr:nvPicPr>
        <xdr:cNvPr id="3" name="그림 4" descr=""/>
        <xdr:cNvPicPr>
          <a:picLocks noChangeAspect="1"/>
        </xdr:cNvPicPr>
      </xdr:nvPicPr>
      <xdr:blipFill>
        <a:blip xmlns:r="http://schemas.openxmlformats.org/officeDocument/2006/relationships" r:embed="rId3"/>
        <a:stretch>
          <a:fillRect/>
        </a:stretch>
      </xdr:blipFill>
      <xdr:spPr>
        <a:xfrm rot="0">
          <a:ext cx="2771775" cy="1790700"/>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pageSetUpPr fitToPage="1"/>
  </sheetPr>
  <dimension ref="A1:L65"/>
  <sheetViews>
    <sheetView tabSelected="0" workbookViewId="0" zoomScale="90" zoomScaleNormal="90" showGridLines="true" showRowColHeaders="1" topLeftCell="A4">
      <selection activeCell="D16" sqref="D16"/>
    </sheetView>
  </sheetViews>
  <sheetFormatPr defaultRowHeight="14.4" outlineLevelRow="0" outlineLevelCol="0"/>
  <cols>
    <col min="1" max="1" width="10.375" customWidth="true" style="244"/>
    <col min="2" max="2" width="22.25" customWidth="true" style="244"/>
    <col min="3" max="3" width="10.5" customWidth="true" style="244"/>
    <col min="4" max="4" width="21.125" customWidth="true" style="244"/>
    <col min="5" max="5" width="3.125" customWidth="true" style="244"/>
    <col min="6" max="6" width="11" customWidth="true" style="244"/>
    <col min="7" max="7" width="20.125" customWidth="true" style="244"/>
    <col min="8" max="8" width="9.25" customWidth="true" style="244"/>
    <col min="9" max="9" width="21.75" customWidth="true" style="244"/>
    <col min="10" max="10" width="20.5" customWidth="true" style="244"/>
    <col min="11" max="11" width="10.375" customWidth="true" style="244"/>
    <col min="12" max="12" width="11.75" customWidth="true" style="244"/>
  </cols>
  <sheetData>
    <row r="1" spans="1:12" customHeight="1" ht="26.25" s="244" customFormat="1">
      <c r="A1" s="244"/>
      <c r="B1" s="244"/>
      <c r="C1" s="244"/>
      <c r="D1" s="244"/>
      <c r="E1" s="244"/>
      <c r="F1" s="244"/>
      <c r="G1" s="244"/>
      <c r="H1" s="244"/>
      <c r="I1" s="244"/>
      <c r="J1" s="244"/>
      <c r="K1" s="244"/>
      <c r="L1" s="244"/>
    </row>
    <row r="2" spans="1:12" customHeight="1" ht="25.5" s="244" customFormat="1">
      <c r="A2" s="105" t="inlineStr">
        <is>
          <r>
            <t xml:space="preserve">말소증</t>
          </r>
        </is>
      </c>
      <c r="B2" s="244"/>
      <c r="C2" s="244"/>
      <c r="D2" s="244"/>
      <c r="E2" s="244"/>
      <c r="F2" s="105" t="inlineStr">
        <is>
          <r>
            <t xml:space="preserve">차량등록증</t>
          </r>
        </is>
      </c>
      <c r="G2" s="244"/>
      <c r="H2" s="244"/>
      <c r="I2" s="244"/>
      <c r="J2" s="244"/>
      <c r="K2" s="244"/>
      <c r="L2" s="244"/>
    </row>
    <row r="3" spans="1:12" customHeight="1" ht="25.5" s="244" customFormat="1">
      <c r="A3" s="103" t="inlineStr">
        <is>
          <r>
            <t xml:space="preserve">ID</t>
          </r>
        </is>
      </c>
      <c r="B3" s="112" t="inlineStr">
        <is>
          <r>
            <t xml:space="preserve">850942</t>
          </r>
        </is>
      </c>
      <c r="C3" s="103" t="inlineStr">
        <is>
          <r>
            <t xml:space="preserve">등록번호</t>
          </r>
        </is>
      </c>
      <c r="D3" s="113"/>
      <c r="E3" s="244"/>
      <c r="F3" s="106" t="inlineStr">
        <is>
          <r>
            <t xml:space="preserve">등록번호</t>
          </r>
        </is>
      </c>
      <c r="G3" s="113"/>
      <c r="H3" s="106" t="inlineStr">
        <is>
          <r>
            <t xml:space="preserve">등록증날짜</t>
          </r>
        </is>
      </c>
      <c r="I3" s="115">
        <v>45875</v>
      </c>
      <c r="J3" s="244"/>
      <c r="K3" s="244"/>
      <c r="L3" s="244"/>
    </row>
    <row r="4" spans="1:12" customHeight="1" ht="24" s="244" customFormat="1">
      <c r="A4" s="103" t="inlineStr">
        <is>
          <r>
            <t xml:space="preserve">차량번호</t>
          </r>
        </is>
      </c>
      <c r="B4" s="113" t="inlineStr">
        <is>
          <r>
            <t xml:space="preserve">19더9065</t>
          </r>
        </is>
      </c>
      <c r="C4" s="103" t="inlineStr">
        <is>
          <r>
            <t xml:space="preserve">영문차량번호</t>
          </r>
        </is>
      </c>
      <c r="D4" s="113" t="inlineStr">
        <is>
          <r>
            <t xml:space="preserve">19DEO9065</t>
          </r>
        </is>
      </c>
      <c r="E4" s="100"/>
      <c r="F4" s="106" t="inlineStr">
        <is>
          <r>
            <t xml:space="preserve">형식</t>
          </r>
        </is>
      </c>
      <c r="G4" s="119" t="inlineStr">
        <is>
          <r>
            <t xml:space="preserve">JC51</t>
          </r>
        </is>
      </c>
      <c r="H4" s="106" t="inlineStr">
        <is>
          <r>
            <t xml:space="preserve">원동기</t>
          </r>
        </is>
      </c>
      <c r="I4" s="112" t="inlineStr">
        <is>
          <r>
            <t xml:space="preserve">B47D20A</t>
          </r>
        </is>
      </c>
      <c r="J4" s="244"/>
      <c r="K4" s="244"/>
      <c r="L4" s="244"/>
    </row>
    <row r="5" spans="1:12" customHeight="1" ht="24" s="244" customFormat="1">
      <c r="A5" s="103" t="inlineStr">
        <is>
          <r>
            <t xml:space="preserve">차명</t>
          </r>
        </is>
      </c>
      <c r="B5" s="114" t="inlineStr">
        <is>
          <r>
            <t xml:space="preserve">BMW 520d xDrive</t>
          </r>
        </is>
      </c>
      <c r="C5" s="103" t="inlineStr">
        <is>
          <r>
            <t xml:space="preserve">차대번호</t>
          </r>
        </is>
      </c>
      <c r="D5" s="113" t="inlineStr">
        <is>
          <r>
            <t xml:space="preserve">WBAJC5105HG850942</t>
          </r>
        </is>
      </c>
      <c r="E5" s="100"/>
      <c r="F5" s="106" t="inlineStr">
        <is>
          <r>
            <t xml:space="preserve">제원</t>
          </r>
        </is>
      </c>
      <c r="G5" s="116" t="inlineStr">
        <is>
          <r>
            <t xml:space="preserve">001-2-00057-0002-1217</t>
          </r>
        </is>
      </c>
      <c r="H5" s="106" t="inlineStr">
        <is>
          <r>
            <t xml:space="preserve">연도</t>
          </r>
        </is>
      </c>
      <c r="I5" s="112" t="inlineStr">
        <is>
          <r>
            <t xml:space="preserve">2017-02</t>
          </r>
        </is>
      </c>
      <c r="J5" s="244"/>
      <c r="K5" s="244"/>
      <c r="L5" s="244"/>
    </row>
    <row r="6" spans="1:12" customHeight="1" ht="24" s="244" customFormat="1">
      <c r="A6" s="103" t="inlineStr">
        <is>
          <r>
            <t xml:space="preserve">최초등록일</t>
          </r>
        </is>
      </c>
      <c r="B6" s="115">
        <v>42853</v>
      </c>
      <c r="C6" s="103" t="inlineStr">
        <is>
          <r>
            <t xml:space="preserve">연도</t>
          </r>
        </is>
      </c>
      <c r="D6" s="113">
        <v>2017</v>
      </c>
      <c r="E6" s="100"/>
      <c r="F6" s="106" t="inlineStr">
        <is>
          <r>
            <t xml:space="preserve">차종</t>
          </r>
        </is>
      </c>
      <c r="G6" s="113" t="inlineStr">
        <is>
          <r>
            <t xml:space="preserve">중형승용</t>
          </r>
        </is>
      </c>
      <c r="H6" s="106" t="inlineStr">
        <is>
          <r>
            <t xml:space="preserve">차종</t>
          </r>
        </is>
      </c>
      <c r="I6" s="115" t="str">
        <f>SUBSTITUTE(SUBSTITUTE(SUBSTITUTE(SUBSTITUTE(SUBSTITUTE(SUBSTITUTE(G6,"승용 소형","Small Passenger"),"승용 중형","Medium Passenger"),"승용 대형","HEAVY Passenger"),"중형 승합","Medium Ven"),"대형 승합","Large Ven"),"중형 화물","Medium Cargo")</f>
        <v>0</v>
      </c>
      <c r="J6" s="244"/>
      <c r="K6" s="244"/>
      <c r="L6" s="244"/>
    </row>
    <row r="7" spans="1:12" customHeight="1" ht="24" s="244" customFormat="1">
      <c r="A7" s="103" t="inlineStr">
        <is>
          <r>
            <t xml:space="preserve">말소등록일 </t>
          </r>
        </is>
      </c>
      <c r="B7" s="115">
        <v>45898</v>
      </c>
      <c r="C7" s="103" t="inlineStr">
        <is>
          <r>
            <t xml:space="preserve">주행거리</t>
          </r>
        </is>
      </c>
      <c r="D7" s="113">
        <v>167725</v>
      </c>
      <c r="E7" s="100"/>
      <c r="F7" s="103" t="inlineStr">
        <is>
          <r>
            <t xml:space="preserve">길이</t>
          </r>
        </is>
      </c>
      <c r="G7" s="113">
        <v>4935</v>
      </c>
      <c r="H7" s="103" t="inlineStr">
        <is>
          <r>
            <t xml:space="preserve">너비</t>
          </r>
        </is>
      </c>
      <c r="I7" s="113">
        <v>1860</v>
      </c>
      <c r="J7" s="244"/>
      <c r="K7" s="244"/>
      <c r="L7" s="244"/>
    </row>
    <row r="8" spans="1:12" customHeight="1" ht="24" s="244" customFormat="1">
      <c r="A8" s="103" t="inlineStr">
        <is>
          <r>
            <t xml:space="preserve"> </t>
          </r>
        </is>
      </c>
      <c r="B8" s="102" t="inlineStr">
        <is>
          <r>
            <t xml:space="preserve"> </t>
          </r>
        </is>
      </c>
      <c r="C8" s="103"/>
      <c r="D8" s="102"/>
      <c r="E8" s="100"/>
      <c r="F8" s="103" t="inlineStr">
        <is>
          <r>
            <t xml:space="preserve">높이</t>
          </r>
        </is>
      </c>
      <c r="G8" s="112" t="inlineStr">
        <is>
          <r>
            <t xml:space="preserve">1455</t>
          </r>
        </is>
      </c>
      <c r="H8" s="103" t="inlineStr">
        <is>
          <r>
            <t xml:space="preserve">총중량</t>
          </r>
        </is>
      </c>
      <c r="I8" s="113">
        <v>2095</v>
      </c>
      <c r="J8" s="244"/>
      <c r="K8" s="244"/>
      <c r="L8" s="244"/>
    </row>
    <row r="9" spans="1:12" customHeight="1" ht="22.5" s="244" customFormat="1">
      <c r="A9" s="105" t="inlineStr">
        <is>
          <r>
            <t xml:space="preserve">VSL</t>
          </r>
        </is>
      </c>
      <c r="B9" s="100"/>
      <c r="C9" s="100"/>
      <c r="D9" s="100"/>
      <c r="E9" s="100"/>
      <c r="F9" s="103" t="inlineStr">
        <is>
          <r>
            <t xml:space="preserve"> 인원</t>
          </r>
        </is>
      </c>
      <c r="G9" s="112" t="inlineStr">
        <is>
          <r>
            <t xml:space="preserve">5</t>
          </r>
        </is>
      </c>
      <c r="H9" s="103" t="s">
        <v>36</v>
      </c>
      <c r="I9" s="101" t="inlineStr">
        <is>
          <r>
            <t xml:space="preserve"> </t>
          </r>
        </is>
      </c>
      <c r="J9" s="244"/>
      <c r="K9" s="244"/>
      <c r="L9" s="244"/>
    </row>
    <row r="10" spans="1:12" customHeight="1" ht="24" s="244" customFormat="1">
      <c r="A10" s="103" t="inlineStr">
        <is>
          <r>
            <t xml:space="preserve">Port</t>
          </r>
        </is>
      </c>
      <c r="B10" s="113" t="inlineStr">
        <is>
          <r>
            <t xml:space="preserve">INCHOEN, KOREA</t>
          </r>
        </is>
      </c>
      <c r="C10" s="103" t="inlineStr">
        <is>
          <r>
            <t xml:space="preserve">목적국</t>
          </r>
        </is>
      </c>
      <c r="D10" s="116" t="inlineStr">
        <is>
          <r>
            <t xml:space="preserve">DURRESS,  ALBANIA</t>
          </r>
        </is>
      </c>
      <c r="E10" s="100"/>
      <c r="F10" s="103" t="inlineStr">
        <is>
          <r>
            <t xml:space="preserve">배기량</t>
          </r>
        </is>
      </c>
      <c r="G10" s="112" t="inlineStr">
        <is>
          <r>
            <t xml:space="preserve">1995</t>
          </r>
        </is>
      </c>
      <c r="H10" s="104" t="inlineStr">
        <is>
          <r>
            <t xml:space="preserve">검사시작</t>
          </r>
        </is>
      </c>
      <c r="I10" s="115">
        <v>45775</v>
      </c>
      <c r="J10" s="244"/>
      <c r="K10" s="244"/>
      <c r="L10" s="244"/>
    </row>
    <row r="11" spans="1:12" customHeight="1" ht="24" s="244" customFormat="1">
      <c r="A11" s="103" t="inlineStr">
        <is>
          <r>
            <t xml:space="preserve">VSL</t>
          </r>
        </is>
      </c>
      <c r="B11" s="113" t="inlineStr">
        <is>
          <r>
            <t xml:space="preserve"> MV HAE SHIN V.2509</t>
          </r>
        </is>
      </c>
      <c r="C11" s="103" t="inlineStr">
        <is>
          <r>
            <t xml:space="preserve">선적일</t>
          </r>
        </is>
      </c>
      <c r="D11" s="102" t="inlineStr">
        <is>
          <r>
            <t xml:space="preserve"> </t>
          </r>
        </is>
      </c>
      <c r="E11" s="100"/>
      <c r="F11" s="103" t="inlineStr">
        <is>
          <r>
            <t xml:space="preserve">출력</t>
          </r>
        </is>
      </c>
      <c r="G11" s="112" t="inlineStr">
        <is>
          <r>
            <t xml:space="preserve">190/4000</t>
          </r>
        </is>
      </c>
      <c r="H11" s="104" t="inlineStr">
        <is>
          <r>
            <t xml:space="preserve">종료</t>
          </r>
        </is>
      </c>
      <c r="I11" s="115">
        <v>46504</v>
      </c>
      <c r="J11" s="244"/>
      <c r="K11" s="244"/>
      <c r="L11" s="244"/>
    </row>
    <row r="12" spans="1:12" customHeight="1" ht="24" s="244" customFormat="1">
      <c r="A12" s="103" t="inlineStr">
        <is>
          <r>
            <t xml:space="preserve">컨테이너 NO</t>
          </r>
        </is>
      </c>
      <c r="B12" s="113" t="inlineStr">
        <is>
          <r>
            <t xml:space="preserve">RORO 2-6_3</t>
          </r>
        </is>
      </c>
      <c r="C12" s="103" t="inlineStr">
        <is>
          <r>
            <t xml:space="preserve">con/roro</t>
          </r>
        </is>
      </c>
      <c r="D12" s="113" t="inlineStr">
        <is>
          <r>
            <t xml:space="preserve">RORO</t>
          </r>
        </is>
      </c>
      <c r="E12" s="100"/>
      <c r="F12" s="103" t="inlineStr">
        <is>
          <r>
            <t xml:space="preserve">기통</t>
          </r>
        </is>
      </c>
      <c r="G12" s="112" t="inlineStr">
        <is>
          <r>
            <t xml:space="preserve">4</t>
          </r>
        </is>
      </c>
      <c r="H12" s="104" t="inlineStr">
        <is>
          <r>
            <t xml:space="preserve">주행거리</t>
          </r>
        </is>
      </c>
      <c r="I12" s="113">
        <v>163268</v>
      </c>
      <c r="J12" s="244"/>
      <c r="K12" s="244"/>
      <c r="L12" s="244"/>
    </row>
    <row r="13" spans="1:12" customHeight="1" ht="24" s="244" customFormat="1">
      <c r="A13" s="105" t="inlineStr">
        <is>
          <r>
            <t xml:space="preserve">컨사이니</t>
          </r>
        </is>
      </c>
      <c r="B13" s="100"/>
      <c r="C13" s="100"/>
      <c r="D13" s="100"/>
      <c r="E13" s="100"/>
      <c r="F13" s="103" t="inlineStr">
        <is>
          <r>
            <t xml:space="preserve">연료</t>
          </r>
        </is>
      </c>
      <c r="G13" s="112" t="inlineStr">
        <is>
          <r>
            <t xml:space="preserve">경유</t>
          </r>
        </is>
      </c>
      <c r="H13" s="245"/>
      <c r="I13" s="113" t="str">
        <f>SUBSTITUTE(SUBSTITUTE(SUBSTITUTE(SUBSTITUTE(G13,"휘발유","GASOLINE"),"경유","DIESEL"),"LPG","LPG"),"하이브리드","HYBRID")</f>
        <v>0</v>
      </c>
      <c r="J13" s="244"/>
      <c r="K13" s="244"/>
      <c r="L13" s="244"/>
    </row>
    <row r="14" spans="1:12" customHeight="1" ht="120.75" s="244" customFormat="1">
      <c r="A14" s="103" t="inlineStr">
        <is>
          <r>
            <t xml:space="preserve">컨사이니</t>
          </r>
        </is>
      </c>
      <c r="B14" s="117" t="inlineStr">
        <is>
          <r>
            <t xml:space="preserve">VIA AUTO
811881897
MAGJISTRALJA FERIZAJ PRISHTINEPN,PRELEZ I JERLIVE, 70000,
FERIZAJ, KOSOVO
EMAIL: INFO@VIA AUTO-KS.COM
+38348507024</t>
          </r>
        </is>
      </c>
      <c r="C14" s="103" t="inlineStr">
        <is>
          <r>
            <t xml:space="preserve">NAME</t>
          </r>
        </is>
      </c>
      <c r="D14" s="118" t="str">
        <f>B14</f>
        <v>0</v>
      </c>
      <c r="E14" s="100"/>
      <c r="F14" s="100"/>
      <c r="G14" s="100"/>
      <c r="H14" s="244"/>
      <c r="I14" s="244"/>
      <c r="J14" s="244"/>
      <c r="K14" s="244"/>
      <c r="L14" s="244"/>
    </row>
    <row r="15" spans="1:12" customHeight="1" ht="24" s="244" customFormat="1">
      <c r="A15" s="103" t="inlineStr">
        <is>
          <r>
            <t xml:space="preserve">판매금</t>
          </r>
        </is>
      </c>
      <c r="B15" s="246">
        <v>14730</v>
      </c>
      <c r="C15" s="103" t="inlineStr">
        <is>
          <r>
            <t xml:space="preserve">운임 </t>
          </r>
        </is>
      </c>
      <c r="D15" s="246">
        <v>1670</v>
      </c>
      <c r="E15" s="100"/>
      <c r="F15" s="100"/>
      <c r="G15" s="247" t="inlineStr">
        <is>
          <r>
            <t xml:space="preserve"> </t>
          </r>
        </is>
      </c>
      <c r="H15" s="244"/>
      <c r="I15" s="244" t="str">
        <f t="array" ref="I15" aca="1" ca="1">_xlfn.TEXTJOIN(",",,
 _xlfn.UNIQUE(_xlfn.IFNA(INDEX({"GASOLIN","DIESEL","LPG"},
 MATCH(G15,{"휘발유","경유","LPG"},0)),""),1))</f>
      </c>
      <c r="J15" s="244"/>
      <c r="K15" s="244"/>
      <c r="L15" s="244"/>
    </row>
    <row r="16" spans="1:12" customHeight="1" ht="25.5" s="244" customFormat="1">
      <c r="A16" s="100"/>
      <c r="B16" s="100"/>
      <c r="C16" s="103" t="inlineStr">
        <is>
          <r>
            <t xml:space="preserve">합계</t>
          </r>
        </is>
      </c>
      <c r="D16" s="111" t="str">
        <f>SUM(B15,D15)</f>
        <v>0</v>
      </c>
      <c r="E16" s="100"/>
      <c r="F16" s="100"/>
      <c r="G16" s="100"/>
      <c r="H16" s="244"/>
      <c r="I16" s="244" t="inlineStr">
        <is>
          <r>
            <t xml:space="preserve"> </t>
          </r>
        </is>
      </c>
      <c r="J16" s="244"/>
      <c r="K16" s="244"/>
      <c r="L16" s="244"/>
    </row>
    <row r="17" spans="1:12">
      <c r="A17" s="100"/>
      <c r="B17" s="100"/>
      <c r="C17" s="100"/>
      <c r="D17" s="100"/>
      <c r="E17" s="100"/>
      <c r="F17" s="100"/>
      <c r="G17" s="100"/>
      <c r="H17" s="244"/>
      <c r="I17" s="244"/>
      <c r="J17" s="244"/>
      <c r="K17" s="244"/>
      <c r="L17" s="244"/>
    </row>
    <row r="18" spans="1:12">
      <c r="A18" s="100"/>
      <c r="B18" s="100"/>
      <c r="C18" s="100"/>
      <c r="D18" s="100"/>
      <c r="E18" s="100"/>
      <c r="F18" s="100"/>
      <c r="G18" s="100" t="inlineStr">
        <is>
          <r>
            <t xml:space="preserve"> </t>
          </r>
        </is>
      </c>
      <c r="H18" s="244"/>
      <c r="I18" s="244"/>
      <c r="J18" s="244"/>
      <c r="K18" s="244"/>
      <c r="L18" s="244"/>
    </row>
    <row r="19" spans="1:12">
      <c r="A19" s="100"/>
      <c r="B19" s="100"/>
      <c r="C19" s="100"/>
      <c r="D19" s="100"/>
      <c r="E19" s="100"/>
      <c r="F19" s="100"/>
      <c r="G19" s="100"/>
      <c r="H19" s="244"/>
      <c r="I19" s="244"/>
      <c r="J19" s="244"/>
      <c r="K19" s="244"/>
      <c r="L19" s="244"/>
    </row>
    <row r="20" spans="1:12">
      <c r="A20" s="100"/>
      <c r="B20" s="100"/>
      <c r="C20" s="100"/>
      <c r="D20" s="100"/>
      <c r="E20" s="100"/>
      <c r="F20" s="100"/>
      <c r="G20" s="100"/>
      <c r="H20" s="244"/>
      <c r="I20" s="244"/>
      <c r="J20" s="244"/>
      <c r="K20" s="244"/>
      <c r="L20" s="244"/>
    </row>
    <row r="21" spans="1:12">
      <c r="A21" s="100"/>
      <c r="B21" s="100"/>
      <c r="C21" s="100"/>
      <c r="D21" s="100"/>
      <c r="E21" s="100"/>
      <c r="F21" s="100"/>
      <c r="G21" s="100"/>
      <c r="H21" s="244"/>
      <c r="I21" s="244"/>
      <c r="J21" s="244"/>
      <c r="K21" s="244"/>
      <c r="L21" s="244"/>
    </row>
    <row r="22" spans="1:12">
      <c r="A22" s="244"/>
      <c r="B22" s="244"/>
      <c r="C22" s="244"/>
      <c r="D22" s="244"/>
      <c r="E22" s="244"/>
      <c r="F22" s="244"/>
      <c r="G22" s="244"/>
      <c r="H22" s="244"/>
      <c r="I22" s="244"/>
      <c r="J22" s="244"/>
      <c r="K22" s="244"/>
      <c r="L22" s="244"/>
    </row>
    <row r="23" spans="1:12">
      <c r="A23" s="244"/>
      <c r="B23" s="108" t="inlineStr">
        <is>
          <r>
            <t xml:space="preserve">INCHOEN, KOREA</t>
          </r>
        </is>
      </c>
      <c r="C23" s="244"/>
      <c r="D23" s="108" t="inlineStr">
        <is>
          <r>
            <t xml:space="preserve">DURRESS,  ALBANIA</t>
          </r>
        </is>
      </c>
      <c r="E23" s="244"/>
      <c r="F23" s="244"/>
      <c r="G23" s="244"/>
      <c r="H23" s="244"/>
      <c r="I23" s="244"/>
      <c r="J23" s="244"/>
      <c r="K23" s="244"/>
      <c r="L23" s="244"/>
    </row>
    <row r="24" spans="1:12">
      <c r="A24" s="244"/>
      <c r="B24" s="108" t="inlineStr">
        <is>
          <r>
            <t xml:space="preserve">MASAN, KOREA</t>
          </r>
        </is>
      </c>
      <c r="C24" s="244"/>
      <c r="D24" s="108" t="inlineStr">
        <is>
          <r>
            <t xml:space="preserve">AZERBAIJAN</t>
          </r>
        </is>
      </c>
      <c r="E24" s="244"/>
      <c r="F24" s="108"/>
      <c r="G24" s="244"/>
      <c r="H24" s="244"/>
      <c r="I24" s="244"/>
      <c r="J24" s="244"/>
      <c r="K24" s="244"/>
      <c r="L24" s="244"/>
    </row>
    <row r="25" spans="1:12">
      <c r="A25" s="244"/>
      <c r="B25" s="108" t="inlineStr">
        <is>
          <r>
            <t xml:space="preserve">PYEONGTAEK, KOREA</t>
          </r>
        </is>
      </c>
      <c r="C25" s="244"/>
      <c r="D25" s="108" t="inlineStr">
        <is>
          <r>
            <t xml:space="preserve">FRANCE</t>
          </r>
        </is>
      </c>
      <c r="E25" s="244"/>
      <c r="F25" s="108"/>
      <c r="G25" s="244"/>
      <c r="H25" s="244"/>
      <c r="I25" s="244"/>
      <c r="J25" s="244"/>
      <c r="K25" s="244"/>
      <c r="L25" s="244"/>
    </row>
    <row r="26" spans="1:12">
      <c r="A26" s="244"/>
      <c r="B26" s="108" t="inlineStr">
        <is>
          <r>
            <t xml:space="preserve">BUSAN, KOREA</t>
          </r>
        </is>
      </c>
      <c r="C26" s="244"/>
      <c r="D26" s="108" t="inlineStr">
        <is>
          <r>
            <t xml:space="preserve">CHILE</t>
          </r>
        </is>
      </c>
      <c r="E26" s="244"/>
      <c r="F26" s="108"/>
      <c r="G26" s="244"/>
      <c r="H26" s="244"/>
      <c r="I26" s="244"/>
      <c r="J26" s="244"/>
      <c r="K26" s="244"/>
      <c r="L26" s="244"/>
    </row>
    <row r="27" spans="1:12">
      <c r="A27" s="244"/>
      <c r="B27" s="244"/>
      <c r="C27" s="244"/>
      <c r="D27" s="108" t="inlineStr">
        <is>
          <r>
            <t xml:space="preserve">JEBEL ALI, U.A.E(DUBAI)</t>
          </r>
        </is>
      </c>
      <c r="E27" s="244"/>
      <c r="F27" s="108"/>
      <c r="G27" s="244"/>
      <c r="H27" s="244"/>
      <c r="I27" s="244"/>
      <c r="J27" s="244"/>
      <c r="K27" s="244"/>
      <c r="L27" s="244"/>
    </row>
    <row r="28" spans="1:12">
      <c r="A28" s="244"/>
      <c r="B28" s="244"/>
      <c r="C28" s="244"/>
      <c r="D28" s="108" t="inlineStr">
        <is>
          <r>
            <t xml:space="preserve">SYRIA</t>
          </r>
        </is>
      </c>
      <c r="E28" s="244"/>
      <c r="F28" s="108"/>
      <c r="G28" s="244"/>
      <c r="H28" s="244"/>
      <c r="I28" s="244"/>
      <c r="J28" s="244"/>
      <c r="K28" s="244"/>
      <c r="L28" s="244"/>
    </row>
    <row r="29" spans="1:12">
      <c r="A29" s="244"/>
      <c r="B29" s="244"/>
      <c r="C29" s="244"/>
      <c r="D29" s="109" t="inlineStr">
        <is>
          <r>
            <t xml:space="preserve">GERMANY , HAMBURG</t>
          </r>
        </is>
      </c>
      <c r="E29" s="244"/>
      <c r="F29" s="108"/>
      <c r="G29" s="244"/>
      <c r="H29" s="244"/>
      <c r="I29" s="244"/>
      <c r="J29" s="244"/>
      <c r="K29" s="244"/>
      <c r="L29" s="244"/>
    </row>
    <row r="30" spans="1:12">
      <c r="A30" s="244"/>
      <c r="B30" s="244"/>
      <c r="C30" s="244"/>
      <c r="D30" s="108" t="inlineStr">
        <is>
          <r>
            <t xml:space="preserve">SAUDI ARABIA , DAMMAM</t>
          </r>
        </is>
      </c>
      <c r="E30" s="244"/>
      <c r="F30" s="244"/>
      <c r="G30" s="244"/>
      <c r="H30" s="244"/>
      <c r="I30" s="244"/>
      <c r="J30" s="244"/>
      <c r="K30" s="244"/>
      <c r="L30" s="244"/>
    </row>
    <row r="31" spans="1:12">
      <c r="A31" s="244"/>
      <c r="B31" s="244"/>
      <c r="C31" s="244"/>
      <c r="D31" s="108" t="inlineStr">
        <is>
          <r>
            <t xml:space="preserve"> Netherlands , Rotterdam</t>
          </r>
        </is>
      </c>
      <c r="E31" s="244"/>
      <c r="F31" s="244"/>
      <c r="G31" s="244"/>
      <c r="H31" s="244"/>
      <c r="I31" s="244"/>
      <c r="J31" s="244"/>
      <c r="K31" s="244"/>
      <c r="L31" s="244"/>
    </row>
    <row r="32" spans="1:12">
      <c r="A32" s="244"/>
      <c r="B32" s="244"/>
      <c r="C32" s="244"/>
      <c r="D32" s="108" t="inlineStr">
        <is>
          <r>
            <t xml:space="preserve">SWEDEN  , GOTHENBURG</t>
          </r>
        </is>
      </c>
      <c r="E32" s="244"/>
      <c r="F32" s="244"/>
      <c r="G32" s="244"/>
      <c r="H32" s="244"/>
      <c r="I32" s="244"/>
      <c r="J32" s="244"/>
      <c r="K32" s="244"/>
      <c r="L32" s="244"/>
    </row>
    <row r="33" spans="1:12">
      <c r="A33" s="244"/>
      <c r="B33" s="244"/>
      <c r="C33" s="244"/>
      <c r="D33" s="108" t="inlineStr">
        <is>
          <r>
            <t xml:space="preserve">KOPER , MOLDOVA</t>
          </r>
        </is>
      </c>
      <c r="E33" s="244"/>
      <c r="F33" s="244"/>
      <c r="G33" s="244"/>
      <c r="H33" s="244"/>
      <c r="I33" s="244"/>
      <c r="J33" s="244"/>
      <c r="K33" s="244"/>
      <c r="L33" s="244"/>
    </row>
    <row r="34" spans="1:12">
      <c r="A34" s="244"/>
      <c r="B34" s="244"/>
      <c r="C34" s="244"/>
      <c r="D34" s="108" t="inlineStr">
        <is>
          <r>
            <t xml:space="preserve">MOLDOVA</t>
          </r>
        </is>
      </c>
      <c r="E34" s="244"/>
      <c r="F34" s="244"/>
      <c r="G34" s="244"/>
      <c r="H34" s="244"/>
      <c r="I34" s="244"/>
      <c r="J34" s="244"/>
      <c r="K34" s="244"/>
      <c r="L34" s="244"/>
    </row>
    <row r="35" spans="1:12">
      <c r="A35" s="244"/>
      <c r="B35" s="244"/>
      <c r="C35" s="244"/>
      <c r="D35" s="108" t="inlineStr">
        <is>
          <r>
            <t xml:space="preserve">BURGAS,  BULGARIA</t>
          </r>
        </is>
      </c>
      <c r="E35" s="244"/>
      <c r="F35" s="244"/>
      <c r="G35" s="244"/>
      <c r="H35" s="244"/>
      <c r="I35" s="244"/>
      <c r="J35" s="244"/>
      <c r="K35" s="244"/>
      <c r="L35" s="244"/>
    </row>
    <row r="36" spans="1:12">
      <c r="A36" s="244"/>
      <c r="B36" s="244"/>
      <c r="C36" s="244"/>
      <c r="D36" s="108" t="inlineStr">
        <is>
          <r>
            <t xml:space="preserve">NORRKOPING</t>
          </r>
        </is>
      </c>
      <c r="E36" s="244"/>
      <c r="F36" s="244"/>
      <c r="G36" s="244"/>
      <c r="H36" s="244"/>
      <c r="I36" s="244"/>
      <c r="J36" s="244"/>
      <c r="K36" s="244"/>
      <c r="L36" s="244"/>
    </row>
    <row r="37" spans="1:12">
      <c r="A37" s="244"/>
      <c r="B37" s="244"/>
      <c r="C37" s="244"/>
      <c r="D37" s="108" t="inlineStr">
        <is>
          <r>
            <t xml:space="preserve">KYRGYZSTAN</t>
          </r>
        </is>
      </c>
      <c r="E37" s="244"/>
      <c r="F37" s="244"/>
      <c r="G37" s="244"/>
      <c r="H37" s="244"/>
      <c r="I37" s="244"/>
      <c r="J37" s="244"/>
      <c r="K37" s="244"/>
      <c r="L37" s="244"/>
    </row>
    <row r="38" spans="1:12">
      <c r="A38" s="244"/>
      <c r="B38" s="244"/>
      <c r="C38" s="244"/>
      <c r="D38" s="108" t="inlineStr">
        <is>
          <r>
            <t xml:space="preserve">KAZAKHSTAN</t>
          </r>
        </is>
      </c>
      <c r="E38" s="244"/>
      <c r="F38" s="244"/>
      <c r="G38" s="244"/>
      <c r="H38" s="244"/>
      <c r="I38" s="244"/>
      <c r="J38" s="244"/>
      <c r="K38" s="244"/>
      <c r="L38" s="244"/>
    </row>
    <row r="39" spans="1:12">
      <c r="A39" s="244"/>
      <c r="B39" s="244"/>
      <c r="C39" s="244"/>
      <c r="D39" s="108" t="inlineStr">
        <is>
          <r>
            <t xml:space="preserve">VLADIVOSTOK,  RUSSIA</t>
          </r>
        </is>
      </c>
      <c r="E39" s="244"/>
      <c r="F39" s="244"/>
      <c r="G39" s="244"/>
      <c r="H39" s="244"/>
      <c r="I39" s="244"/>
      <c r="J39" s="244"/>
      <c r="K39" s="244"/>
      <c r="L39" s="244"/>
    </row>
    <row r="40" spans="1:12">
      <c r="A40" s="244"/>
      <c r="B40" s="244"/>
      <c r="C40" s="244"/>
      <c r="D40" s="108">
        <v>123456</v>
      </c>
      <c r="E40" s="244"/>
      <c r="F40" s="244"/>
      <c r="G40" s="244"/>
      <c r="H40" s="244"/>
      <c r="I40" s="244"/>
      <c r="J40" s="244"/>
      <c r="K40" s="244"/>
      <c r="L40" s="244"/>
    </row>
    <row r="41" spans="1:12">
      <c r="A41" s="244"/>
      <c r="B41" s="244"/>
      <c r="C41" s="244"/>
      <c r="D41" s="108"/>
      <c r="E41" s="244"/>
      <c r="F41" s="244"/>
      <c r="G41" s="244"/>
      <c r="H41" s="244"/>
      <c r="I41" s="244"/>
      <c r="J41" s="244"/>
      <c r="K41" s="244"/>
      <c r="L41" s="244"/>
    </row>
    <row r="42" spans="1:12">
      <c r="A42" s="244"/>
      <c r="B42" s="244"/>
      <c r="C42" s="244"/>
      <c r="D42" s="108"/>
      <c r="E42" s="244"/>
      <c r="F42" s="244"/>
      <c r="G42" s="244"/>
      <c r="H42" s="244"/>
      <c r="I42" s="244"/>
      <c r="J42" s="244"/>
      <c r="K42" s="244"/>
      <c r="L42" s="244"/>
    </row>
    <row r="43" spans="1:12">
      <c r="A43" s="244"/>
      <c r="B43" s="244"/>
      <c r="C43" s="244"/>
      <c r="D43" s="108"/>
      <c r="E43" s="244"/>
      <c r="F43" s="244"/>
      <c r="G43" s="244"/>
      <c r="H43" s="244"/>
      <c r="I43" s="244"/>
      <c r="J43" s="244"/>
      <c r="K43" s="244"/>
      <c r="L43" s="244"/>
    </row>
    <row r="44" spans="1:12">
      <c r="A44" s="244"/>
      <c r="B44" s="244"/>
      <c r="C44" s="244"/>
      <c r="D44" s="108"/>
      <c r="E44" s="244"/>
      <c r="F44" s="244"/>
      <c r="G44" s="244"/>
      <c r="H44" s="244"/>
      <c r="I44" s="244"/>
      <c r="J44" s="244"/>
      <c r="K44" s="244"/>
      <c r="L44" s="244"/>
    </row>
    <row r="45" spans="1:12">
      <c r="A45" s="244"/>
      <c r="B45" s="244"/>
      <c r="C45" s="244"/>
      <c r="D45" s="108"/>
      <c r="E45" s="244"/>
      <c r="F45" s="244"/>
      <c r="G45" s="244"/>
      <c r="H45" s="244"/>
      <c r="I45" s="244"/>
      <c r="J45" s="244"/>
      <c r="K45" s="244"/>
      <c r="L45" s="244"/>
    </row>
    <row r="46" spans="1:12">
      <c r="A46" s="244"/>
      <c r="B46" s="244"/>
      <c r="C46" s="244"/>
      <c r="D46" s="108"/>
      <c r="E46" s="244"/>
      <c r="F46" s="244"/>
      <c r="G46" s="244"/>
      <c r="H46" s="244"/>
      <c r="I46" s="244"/>
      <c r="J46" s="244"/>
      <c r="K46" s="244"/>
      <c r="L46" s="244"/>
    </row>
    <row r="47" spans="1:12">
      <c r="A47" s="244"/>
      <c r="B47" s="244"/>
      <c r="C47" s="244"/>
      <c r="D47" s="108"/>
      <c r="E47" s="244"/>
      <c r="F47" s="244"/>
      <c r="G47" s="244"/>
      <c r="H47" s="244"/>
      <c r="I47" s="244"/>
      <c r="J47" s="244"/>
      <c r="K47" s="244"/>
      <c r="L47" s="244"/>
    </row>
    <row r="48" spans="1:12">
      <c r="A48" s="244"/>
      <c r="B48" s="244"/>
      <c r="C48" s="244"/>
      <c r="D48" s="108"/>
      <c r="E48" s="244"/>
      <c r="F48" s="244"/>
      <c r="G48" s="244"/>
      <c r="H48" s="244"/>
      <c r="I48" s="244"/>
      <c r="J48" s="244"/>
      <c r="K48" s="244"/>
      <c r="L48" s="244"/>
    </row>
    <row r="49" spans="1:12">
      <c r="A49" s="244"/>
      <c r="B49" s="244"/>
      <c r="C49" s="244"/>
      <c r="D49" s="108"/>
      <c r="E49" s="244"/>
      <c r="F49" s="244"/>
      <c r="G49" s="244"/>
      <c r="H49" s="244"/>
      <c r="I49" s="244"/>
      <c r="J49" s="244"/>
      <c r="K49" s="244"/>
      <c r="L49" s="244"/>
    </row>
    <row r="50" spans="1:12">
      <c r="A50" s="244"/>
      <c r="B50" s="244"/>
      <c r="C50" s="244"/>
      <c r="D50" s="108"/>
      <c r="E50" s="244"/>
      <c r="F50" s="244"/>
      <c r="G50" s="244"/>
      <c r="H50" s="244"/>
      <c r="I50" s="244"/>
      <c r="J50" s="244"/>
      <c r="K50" s="244"/>
      <c r="L50" s="244"/>
    </row>
    <row r="51" spans="1:12">
      <c r="A51" s="244"/>
      <c r="B51" s="244"/>
      <c r="C51" s="244"/>
      <c r="D51" s="108"/>
      <c r="E51" s="244"/>
      <c r="F51" s="244"/>
      <c r="G51" s="244"/>
      <c r="H51" s="244"/>
      <c r="I51" s="244"/>
      <c r="J51" s="244"/>
      <c r="K51" s="244"/>
      <c r="L51" s="244"/>
    </row>
    <row r="52" spans="1:12">
      <c r="A52" s="244"/>
      <c r="B52" s="244"/>
      <c r="C52" s="244"/>
      <c r="D52" s="108"/>
      <c r="E52" s="244"/>
      <c r="F52" s="244"/>
      <c r="G52" s="244"/>
      <c r="H52" s="244"/>
      <c r="I52" s="244"/>
      <c r="J52" s="244"/>
      <c r="K52" s="244"/>
      <c r="L52" s="244"/>
    </row>
    <row r="53" spans="1:12">
      <c r="A53" s="244"/>
      <c r="B53" s="244"/>
      <c r="C53" s="244"/>
      <c r="D53" s="108"/>
      <c r="E53" s="244"/>
      <c r="F53" s="244"/>
      <c r="G53" s="244"/>
      <c r="H53" s="244"/>
      <c r="I53" s="244"/>
      <c r="J53" s="244"/>
      <c r="K53" s="244"/>
      <c r="L53" s="244"/>
    </row>
    <row r="54" spans="1:12">
      <c r="A54" s="244"/>
      <c r="B54" s="244"/>
      <c r="C54" s="244"/>
      <c r="D54" s="108"/>
      <c r="E54" s="244"/>
      <c r="F54" s="244"/>
      <c r="G54" s="244"/>
      <c r="H54" s="244"/>
      <c r="I54" s="244"/>
      <c r="J54" s="244"/>
      <c r="K54" s="244"/>
      <c r="L54" s="244"/>
    </row>
    <row r="55" spans="1:12">
      <c r="A55" s="244"/>
      <c r="B55" s="244"/>
      <c r="C55" s="244"/>
      <c r="D55" s="108"/>
      <c r="E55" s="244"/>
      <c r="F55" s="244"/>
      <c r="G55" s="244"/>
      <c r="H55" s="244"/>
      <c r="I55" s="244"/>
      <c r="J55" s="244"/>
      <c r="K55" s="244"/>
      <c r="L55" s="244"/>
    </row>
    <row r="56" spans="1:12">
      <c r="A56" s="244"/>
      <c r="B56" s="244"/>
      <c r="C56" s="244"/>
      <c r="D56" s="108"/>
      <c r="E56" s="244"/>
      <c r="F56" s="244"/>
      <c r="G56" s="244"/>
      <c r="H56" s="244"/>
      <c r="I56" s="244"/>
      <c r="J56" s="244"/>
      <c r="K56" s="244"/>
      <c r="L56" s="244"/>
    </row>
    <row r="57" spans="1:12">
      <c r="A57" s="244"/>
      <c r="B57" s="244"/>
      <c r="C57" s="244"/>
      <c r="D57" s="108"/>
      <c r="E57" s="244"/>
      <c r="F57" s="244"/>
      <c r="G57" s="244"/>
      <c r="H57" s="244"/>
      <c r="I57" s="244"/>
      <c r="J57" s="244"/>
      <c r="K57" s="244"/>
      <c r="L57" s="244"/>
    </row>
    <row r="58" spans="1:12">
      <c r="A58" s="244"/>
      <c r="B58" s="244"/>
      <c r="C58" s="244"/>
      <c r="D58" s="108"/>
      <c r="E58" s="244"/>
      <c r="F58" s="244"/>
      <c r="G58" s="244"/>
      <c r="H58" s="244"/>
      <c r="I58" s="244"/>
      <c r="J58" s="244"/>
      <c r="K58" s="244"/>
      <c r="L58" s="244"/>
    </row>
    <row r="59" spans="1:12">
      <c r="A59" s="244"/>
      <c r="B59" s="244"/>
      <c r="C59" s="244"/>
      <c r="D59" s="108"/>
      <c r="E59" s="244"/>
      <c r="F59" s="244"/>
      <c r="G59" s="244"/>
      <c r="H59" s="244"/>
      <c r="I59" s="244"/>
      <c r="J59" s="244"/>
      <c r="K59" s="244"/>
      <c r="L59" s="244"/>
    </row>
    <row r="60" spans="1:12">
      <c r="A60" s="244"/>
      <c r="B60" s="244"/>
      <c r="C60" s="244"/>
      <c r="D60" s="108"/>
      <c r="E60" s="244"/>
      <c r="F60" s="244"/>
      <c r="G60" s="244"/>
      <c r="H60" s="244"/>
      <c r="I60" s="244"/>
      <c r="J60" s="244"/>
      <c r="K60" s="244"/>
      <c r="L60" s="244"/>
    </row>
    <row r="61" spans="1:12">
      <c r="A61" s="244"/>
      <c r="B61" s="244"/>
      <c r="C61" s="244"/>
      <c r="D61" s="108"/>
      <c r="E61" s="244"/>
      <c r="F61" s="244"/>
      <c r="G61" s="244"/>
      <c r="H61" s="244"/>
      <c r="I61" s="244"/>
      <c r="J61" s="244"/>
      <c r="K61" s="244"/>
      <c r="L61" s="244"/>
    </row>
    <row r="62" spans="1:12">
      <c r="A62" s="244"/>
      <c r="B62" s="244"/>
      <c r="C62" s="244"/>
      <c r="D62" s="108"/>
      <c r="E62" s="244"/>
      <c r="F62" s="244"/>
      <c r="G62" s="244"/>
      <c r="H62" s="244"/>
      <c r="I62" s="244"/>
      <c r="J62" s="244"/>
      <c r="K62" s="244"/>
      <c r="L62" s="244"/>
    </row>
    <row r="63" spans="1:12">
      <c r="A63" s="244"/>
      <c r="B63" s="244"/>
      <c r="C63" s="244"/>
      <c r="D63" s="108"/>
      <c r="E63" s="244"/>
      <c r="F63" s="244"/>
      <c r="G63" s="244"/>
      <c r="H63" s="244"/>
      <c r="I63" s="244"/>
      <c r="J63" s="244"/>
      <c r="K63" s="244"/>
      <c r="L63" s="244"/>
    </row>
    <row r="64" spans="1:12">
      <c r="A64" s="244"/>
      <c r="B64" s="244"/>
      <c r="C64" s="244"/>
      <c r="D64" s="108"/>
      <c r="E64" s="244"/>
      <c r="F64" s="244"/>
      <c r="G64" s="244"/>
      <c r="H64" s="244"/>
      <c r="I64" s="244"/>
      <c r="J64" s="244"/>
      <c r="K64" s="244"/>
      <c r="L64" s="244"/>
    </row>
    <row r="65" spans="1:12">
      <c r="A65" s="244"/>
      <c r="B65" s="244"/>
      <c r="C65" s="244"/>
      <c r="D65" s="108"/>
      <c r="E65" s="244"/>
      <c r="F65" s="244"/>
      <c r="G65" s="244"/>
      <c r="H65" s="244"/>
      <c r="I65" s="244"/>
      <c r="J65" s="244"/>
      <c r="K65" s="244"/>
      <c r="L65" s="244"/>
    </row>
  </sheetData>
  <dataValidations count="5">
    <dataValidation type="list" allowBlank="1" showDropDown="0" showInputMessage="1" showErrorMessage="1" sqref="B10">
      <formula1>$B$23:$B$28</formula1>
    </dataValidation>
    <dataValidation type="list" allowBlank="1" showDropDown="0" showInputMessage="1" showErrorMessage="1" sqref="D10">
      <formula1>$D$23:$D$56</formula1>
    </dataValidation>
    <dataValidation type="list" allowBlank="1" showDropDown="0" showInputMessage="1" showErrorMessage="1" sqref="D12">
      <formula1>"CONTAINER,RORO"</formula1>
    </dataValidation>
    <dataValidation type="list" allowBlank="1" showDropDown="0" showInputMessage="1" showErrorMessage="1" sqref="G13">
      <formula1>"휘발유,경유,LPG,하이브리드"</formula1>
    </dataValidation>
    <dataValidation type="list" allowBlank="1" showDropDown="0" showInputMessage="1" showErrorMessage="1" sqref="G6">
      <formula1>"소형승용,중형승용,대형승용,중형승합,대형승합,중형화물"</formula1>
    </dataValidation>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T47"/>
  <sheetViews>
    <sheetView tabSelected="0" workbookViewId="0" zoomScale="90" zoomScaleNormal="90" showGridLines="true" showRowColHeaders="1" topLeftCell="A5">
      <selection activeCell="F31" sqref="F31"/>
    </sheetView>
  </sheetViews>
  <sheetFormatPr defaultRowHeight="14.4" outlineLevelRow="0" outlineLevelCol="0"/>
  <cols>
    <col min="1" max="1" width="3.25" customWidth="true" style="244"/>
    <col min="2" max="2" width="3.5" customWidth="true" style="244"/>
    <col min="3" max="3" width="11.125" customWidth="true" style="244"/>
    <col min="4" max="4" width="4.125" customWidth="true" style="244"/>
    <col min="5" max="5" width="4.125" customWidth="true" style="244"/>
    <col min="6" max="6" width="4.75" customWidth="true" style="244"/>
    <col min="7" max="7" width="3.25" customWidth="true" style="244"/>
    <col min="8" max="8" width="11.625" customWidth="true" style="244"/>
    <col min="9" max="9" width="8.25" customWidth="true" style="244"/>
    <col min="10" max="10" width="4.875" customWidth="true" style="244"/>
    <col min="11" max="11" width="2.125" customWidth="true" style="244"/>
    <col min="12" max="12" width="10.875" customWidth="true" style="244"/>
    <col min="13" max="13" width="10.125" customWidth="true" style="244"/>
    <col min="14" max="14" width="9.5" customWidth="true" style="244"/>
    <col min="16" max="16" width="8.125" customWidth="true" style="244"/>
    <col min="17" max="17" width="8.25" customWidth="true" style="244"/>
  </cols>
  <sheetData>
    <row r="1" spans="1:20">
      <c r="A1" s="71" t="inlineStr">
        <is>
          <r>
            <t xml:space="preserve">■자동차등록규칙 [별지 제1호 서식]  &lt;개정  2017. 10. 26&gt; 수출 통관용</t>
          </r>
        </is>
      </c>
      <c r="B1" s="69"/>
      <c r="C1" s="69"/>
      <c r="D1" s="69"/>
      <c r="E1" s="69"/>
      <c r="F1" s="69"/>
      <c r="G1" s="69"/>
      <c r="H1" s="69"/>
      <c r="I1" s="69"/>
      <c r="J1" s="69"/>
      <c r="K1" s="69"/>
      <c r="L1" s="69"/>
      <c r="M1" s="69"/>
      <c r="N1" s="69"/>
      <c r="O1" s="69"/>
      <c r="P1" s="69"/>
      <c r="Q1" s="70" t="inlineStr">
        <is>
          <r>
            <t xml:space="preserve">(앞  쪽)</t>
          </r>
        </is>
      </c>
      <c r="R1"/>
      <c r="S1"/>
      <c r="T1"/>
    </row>
    <row r="2" spans="1:20" customHeight="1" ht="60" s="244" customFormat="1">
      <c r="A2" s="248" t="inlineStr">
        <is>
          <r>
            <t xml:space="preserve">자  동  차  등  록  증</t>
          </r>
        </is>
      </c>
      <c r="B2" s="249"/>
      <c r="C2" s="249"/>
      <c r="D2" s="249"/>
      <c r="E2" s="249"/>
      <c r="F2" s="249"/>
      <c r="G2" s="249"/>
      <c r="H2" s="249"/>
      <c r="I2" s="249"/>
      <c r="J2" s="249"/>
      <c r="K2" s="249"/>
      <c r="L2" s="249"/>
      <c r="M2" s="249"/>
      <c r="N2" s="249"/>
      <c r="O2" s="249"/>
      <c r="P2" s="249"/>
      <c r="Q2" s="250"/>
      <c r="R2" s="244"/>
      <c r="S2" s="244"/>
      <c r="T2" s="244"/>
    </row>
    <row r="3" spans="1:20" customHeight="1" ht="23.25" s="244" customFormat="1">
      <c r="A3" s="1"/>
      <c r="B3" s="2" t="inlineStr">
        <is>
          <r>
            <t xml:space="preserve">제 </t>
          </r>
        </is>
      </c>
      <c r="C3" s="153" t="str">
        <f>구매리스트!G3</f>
        <v>0</v>
      </c>
      <c r="D3" s="251"/>
      <c r="E3" s="251"/>
      <c r="F3" s="251"/>
      <c r="G3" s="251"/>
      <c r="H3" s="17" t="inlineStr">
        <is>
          <r>
            <t xml:space="preserve">호</t>
          </r>
        </is>
      </c>
      <c r="I3" s="2" t="inlineStr">
        <is>
          <r>
            <t xml:space="preserve"> </t>
          </r>
        </is>
      </c>
      <c r="J3" s="2"/>
      <c r="K3" s="2"/>
      <c r="L3" s="2"/>
      <c r="M3" s="149" t="inlineStr">
        <is>
          <r>
            <t xml:space="preserve">최초등록일 :</t>
          </r>
        </is>
      </c>
      <c r="N3" s="244"/>
      <c r="O3" s="150" t="str">
        <f>구매리스트!B6</f>
        <v>0</v>
      </c>
      <c r="P3" s="251"/>
      <c r="Q3" s="252"/>
      <c r="R3" s="244"/>
      <c r="S3" s="244"/>
      <c r="T3" s="244"/>
    </row>
    <row r="4" spans="1:20" customHeight="1" ht="30" s="244" customFormat="1">
      <c r="A4" s="135" t="inlineStr">
        <is>
          <r>
            <t xml:space="preserve">① 자동차등록번호</t>
          </r>
        </is>
      </c>
      <c r="B4" s="253"/>
      <c r="C4" s="253"/>
      <c r="D4" s="253"/>
      <c r="E4" s="151" t="str">
        <f>구매리스트!B4</f>
        <v>0</v>
      </c>
      <c r="F4" s="253"/>
      <c r="G4" s="253"/>
      <c r="H4" s="253"/>
      <c r="I4" s="254"/>
      <c r="J4" s="136" t="inlineStr">
        <is>
          <r>
            <t xml:space="preserve">② 차                 종</t>
          </r>
        </is>
      </c>
      <c r="K4" s="253"/>
      <c r="L4" s="254"/>
      <c r="M4" s="151" t="str">
        <f>구매리스트!G6</f>
        <v>0</v>
      </c>
      <c r="N4" s="254"/>
      <c r="O4" s="136" t="inlineStr">
        <is>
          <r>
            <t xml:space="preserve">③용도</t>
          </r>
        </is>
      </c>
      <c r="P4" s="152" t="inlineStr">
        <is>
          <r>
            <t xml:space="preserve">자가용</t>
          </r>
        </is>
      </c>
      <c r="Q4" s="254"/>
      <c r="R4" s="244"/>
      <c r="S4" s="244"/>
      <c r="T4" s="244"/>
    </row>
    <row r="5" spans="1:20" customHeight="1" ht="30" s="244" customFormat="1">
      <c r="A5" s="136" t="inlineStr">
        <is>
          <r>
            <t xml:space="preserve">④ 차               명</t>
          </r>
        </is>
      </c>
      <c r="B5" s="253"/>
      <c r="C5" s="253"/>
      <c r="D5" s="254"/>
      <c r="E5" s="151" t="str">
        <f>구매리스트!B5</f>
        <v>0</v>
      </c>
      <c r="F5" s="253"/>
      <c r="G5" s="253"/>
      <c r="H5" s="253"/>
      <c r="I5" s="254"/>
      <c r="J5" s="136" t="inlineStr">
        <is>
          <r>
            <t xml:space="preserve">⑤ 형식 및 모델연도</t>
          </r>
        </is>
      </c>
      <c r="K5" s="253"/>
      <c r="L5" s="254"/>
      <c r="M5" s="134" t="str">
        <f>구매리스트!G4</f>
        <v>0</v>
      </c>
      <c r="N5" s="253"/>
      <c r="O5" s="253"/>
      <c r="P5" s="255" t="str">
        <f>구매리스트!I5</f>
        <v>0</v>
      </c>
      <c r="Q5" s="254"/>
      <c r="R5" s="244"/>
      <c r="S5" s="244"/>
      <c r="T5" s="244"/>
    </row>
    <row r="6" spans="1:20" customHeight="1" ht="30" s="244" customFormat="1">
      <c r="A6" s="136" t="inlineStr">
        <is>
          <r>
            <t xml:space="preserve">⑥ 차   대   번   호</t>
          </r>
        </is>
      </c>
      <c r="B6" s="253"/>
      <c r="C6" s="253"/>
      <c r="D6" s="254"/>
      <c r="E6" s="151" t="str">
        <f>구매리스트!D5</f>
        <v>0</v>
      </c>
      <c r="F6" s="253"/>
      <c r="G6" s="253"/>
      <c r="H6" s="253"/>
      <c r="I6" s="254"/>
      <c r="J6" s="136" t="inlineStr">
        <is>
          <r>
            <t xml:space="preserve">⑦ 원  동  기  형  식</t>
          </r>
        </is>
      </c>
      <c r="K6" s="253"/>
      <c r="L6" s="254"/>
      <c r="M6" s="151" t="str">
        <f>구매리스트!I4</f>
        <v>0</v>
      </c>
      <c r="N6" s="253"/>
      <c r="O6" s="253"/>
      <c r="P6" s="253"/>
      <c r="Q6" s="254"/>
      <c r="R6" s="244"/>
      <c r="S6" s="244"/>
      <c r="T6" s="244"/>
    </row>
    <row r="7" spans="1:20" customHeight="1" ht="30" s="244" customFormat="1">
      <c r="A7" s="136" t="inlineStr">
        <is>
          <r>
            <t xml:space="preserve">⑧ 사 용   본 거 지</t>
          </r>
        </is>
      </c>
      <c r="B7" s="253"/>
      <c r="C7" s="253"/>
      <c r="D7" s="254"/>
      <c r="E7" s="256" t="inlineStr">
        <is>
          <r>
            <t xml:space="preserve">경기도 시흥시 산기대학로 163, A동 328호(정왕동)</t>
          </r>
        </is>
      </c>
      <c r="F7" s="253"/>
      <c r="G7" s="253"/>
      <c r="H7" s="253"/>
      <c r="I7" s="253"/>
      <c r="J7" s="253"/>
      <c r="K7" s="253"/>
      <c r="L7" s="253"/>
      <c r="M7" s="253"/>
      <c r="N7" s="253"/>
      <c r="O7" s="253"/>
      <c r="P7" s="253"/>
      <c r="Q7" s="254"/>
      <c r="R7" s="244"/>
      <c r="S7" s="244"/>
      <c r="T7" s="244"/>
    </row>
    <row r="8" spans="1:20" customHeight="1" ht="30" s="244" customFormat="1">
      <c r="A8" s="257" t="inlineStr">
        <is>
          <r>
            <t xml:space="preserve">소유자</t>
          </r>
        </is>
      </c>
      <c r="B8" s="254"/>
      <c r="C8" s="135" t="inlineStr">
        <is>
          <r>
            <t xml:space="preserve">⑨성명(명칭)</t>
          </r>
        </is>
      </c>
      <c r="D8" s="253"/>
      <c r="E8" s="258" t="inlineStr">
        <is>
          <r>
            <t xml:space="preserve">주식회사 싼카 (상품용)</t>
          </r>
        </is>
      </c>
      <c r="F8" s="253"/>
      <c r="G8" s="253"/>
      <c r="H8" s="253"/>
      <c r="I8" s="254"/>
      <c r="J8" s="259" t="inlineStr">
        <is>
          <r>
            <t xml:space="preserve">      생   년   월   일
     (법 인 등 록 번호)</t>
          </r>
        </is>
      </c>
      <c r="K8" s="253"/>
      <c r="L8" s="254"/>
      <c r="M8" s="258" t="inlineStr">
        <is>
          <r>
            <t xml:space="preserve">120111-0922270</t>
          </r>
        </is>
      </c>
      <c r="N8" s="253"/>
      <c r="O8" s="253"/>
      <c r="P8" s="253"/>
      <c r="Q8" s="254"/>
      <c r="R8" s="244"/>
      <c r="S8" s="244"/>
      <c r="T8" s="244" t="inlineStr">
        <is>
          <r>
            <t xml:space="preserve"> </t>
          </r>
        </is>
      </c>
    </row>
    <row r="9" spans="1:20" customHeight="1" ht="6.75" s="244" customFormat="1">
      <c r="A9" s="1"/>
      <c r="B9" s="2"/>
      <c r="C9" s="2"/>
      <c r="D9" s="149"/>
      <c r="E9" s="149"/>
      <c r="F9" s="149"/>
      <c r="G9" s="149"/>
      <c r="H9" s="149"/>
      <c r="I9" s="2"/>
      <c r="J9" s="2"/>
      <c r="K9" s="2"/>
      <c r="L9" s="2"/>
      <c r="M9" s="149"/>
      <c r="N9" s="149"/>
      <c r="O9" s="2"/>
      <c r="P9" s="2"/>
      <c r="Q9" s="3"/>
      <c r="R9" s="244"/>
      <c r="S9" s="244"/>
      <c r="T9" s="244"/>
    </row>
    <row r="10" spans="1:20" customHeight="1" ht="24.75" s="244" customFormat="1">
      <c r="A10" s="260" t="inlineStr">
        <is>
          <r>
            <t xml:space="preserve">「자동차관리법」제8조에 따라 위와 같이 등록하였음을 증명합니다. </t>
          </r>
        </is>
      </c>
      <c r="B10" s="244"/>
      <c r="C10" s="244"/>
      <c r="D10" s="244"/>
      <c r="E10" s="244"/>
      <c r="F10" s="244"/>
      <c r="G10" s="244"/>
      <c r="H10" s="244"/>
      <c r="I10" s="244"/>
      <c r="J10" s="244"/>
      <c r="K10" s="244"/>
      <c r="L10" s="244"/>
      <c r="M10" s="244"/>
      <c r="N10" s="244"/>
      <c r="O10" s="244"/>
      <c r="P10" s="244"/>
      <c r="Q10" s="261"/>
      <c r="R10" s="244"/>
      <c r="S10" s="244"/>
      <c r="T10" s="244"/>
    </row>
    <row r="11" spans="1:20" customHeight="1" ht="22.5" s="244" customFormat="1">
      <c r="A11" s="1"/>
      <c r="B11" s="154" t="inlineStr">
        <is>
          <r>
            <t xml:space="preserve">※ 유의사항 : 전기자동차 또는 수소전기자동차인 경우 ⑦번란의 '원동기형식'은 '구동전동기형식'을 말합니다. </t>
          </r>
        </is>
      </c>
      <c r="C11" s="244"/>
      <c r="D11" s="244"/>
      <c r="E11" s="244"/>
      <c r="F11" s="244"/>
      <c r="G11" s="244"/>
      <c r="H11" s="244"/>
      <c r="I11" s="244"/>
      <c r="J11" s="244"/>
      <c r="K11" s="244"/>
      <c r="L11" s="244"/>
      <c r="M11" s="244"/>
      <c r="N11" s="244"/>
      <c r="O11" s="244"/>
      <c r="P11" s="244"/>
      <c r="Q11" s="261"/>
      <c r="R11" s="244"/>
      <c r="S11" s="244"/>
      <c r="T11" s="244"/>
    </row>
    <row r="12" spans="1:20" customHeight="1" ht="20.25" s="244" customFormat="1">
      <c r="A12" s="1"/>
      <c r="B12" s="2"/>
      <c r="C12" s="2"/>
      <c r="D12" s="149"/>
      <c r="E12" s="149"/>
      <c r="F12" s="149"/>
      <c r="G12" s="149"/>
      <c r="H12" s="149"/>
      <c r="I12" s="2"/>
      <c r="J12" s="2"/>
      <c r="K12" s="2"/>
      <c r="L12" s="2"/>
      <c r="M12" s="149"/>
      <c r="N12" s="149"/>
      <c r="O12" s="2"/>
      <c r="P12" s="2"/>
      <c r="Q12" s="3"/>
      <c r="R12" s="244"/>
      <c r="S12" s="244"/>
      <c r="T12" s="244"/>
    </row>
    <row r="13" spans="1:20" customHeight="1" ht="26.25" s="244" customFormat="1">
      <c r="A13" s="4" t="inlineStr">
        <is>
          <r>
            <t xml:space="preserve"> </t>
          </r>
        </is>
      </c>
      <c r="B13" s="244" t="inlineStr">
        <is>
          <r>
            <t xml:space="preserve"> </t>
          </r>
        </is>
      </c>
      <c r="C13" s="244"/>
      <c r="D13" s="244"/>
      <c r="E13" s="244"/>
      <c r="F13" s="244"/>
      <c r="G13" s="244"/>
      <c r="H13" s="244"/>
      <c r="I13" s="244"/>
      <c r="J13" s="244"/>
      <c r="K13" s="244"/>
      <c r="L13" s="155" t="str">
        <f>구매리스트!I3</f>
        <v>0</v>
      </c>
      <c r="M13" s="244"/>
      <c r="N13" s="244"/>
      <c r="O13" s="244"/>
      <c r="P13" s="262"/>
      <c r="Q13" s="5"/>
      <c r="R13" s="244"/>
      <c r="S13" s="244"/>
      <c r="T13" s="244"/>
    </row>
    <row r="14" spans="1:20" customHeight="1" ht="23.25" s="244" customFormat="1">
      <c r="A14" s="4"/>
      <c r="B14" s="244"/>
      <c r="C14" s="244"/>
      <c r="D14" s="244"/>
      <c r="E14" s="244"/>
      <c r="F14" s="244"/>
      <c r="G14" s="244"/>
      <c r="H14" s="244"/>
      <c r="I14" s="244"/>
      <c r="J14" s="244"/>
      <c r="K14" s="244"/>
      <c r="L14" s="244"/>
      <c r="M14" s="6"/>
      <c r="N14" s="6"/>
      <c r="O14" s="6"/>
      <c r="P14" s="6"/>
      <c r="Q14" s="5"/>
      <c r="R14" s="244"/>
      <c r="S14" s="244"/>
      <c r="T14" s="244"/>
    </row>
    <row r="15" spans="1:20" customHeight="1" ht="39" s="244" customFormat="1">
      <c r="A15" s="4"/>
      <c r="B15" s="244"/>
      <c r="C15" s="244"/>
      <c r="D15" s="244"/>
      <c r="E15" s="244"/>
      <c r="F15" s="244"/>
      <c r="G15" s="244"/>
      <c r="H15" s="244"/>
      <c r="I15" s="244"/>
      <c r="J15" s="391" t="s">
        <v>105</v>
      </c>
      <c r="K15" s="244"/>
      <c r="L15" s="244"/>
      <c r="M15" s="244"/>
      <c r="N15" s="244"/>
      <c r="O15" s="244"/>
      <c r="P15" s="244"/>
      <c r="Q15" s="261"/>
      <c r="R15" s="244"/>
      <c r="S15" s="244"/>
      <c r="T15" s="244"/>
    </row>
    <row r="16" spans="1:20" customHeight="1" ht="9" s="244" customFormat="1">
      <c r="A16" s="7"/>
      <c r="B16" s="8"/>
      <c r="C16" s="8"/>
      <c r="D16" s="8"/>
      <c r="E16" s="8"/>
      <c r="F16" s="8"/>
      <c r="G16" s="8"/>
      <c r="H16" s="8"/>
      <c r="I16" s="8"/>
      <c r="J16" s="8"/>
      <c r="K16" s="8"/>
      <c r="L16" s="8"/>
      <c r="M16" s="8"/>
      <c r="N16" s="8"/>
      <c r="O16" s="8"/>
      <c r="P16" s="8"/>
      <c r="Q16" s="9"/>
      <c r="R16" s="244"/>
      <c r="S16" s="244"/>
      <c r="T16" s="244"/>
    </row>
    <row r="17" spans="1:20" customHeight="1" ht="8.25" s="244" customFormat="1">
      <c r="A17" s="4"/>
      <c r="B17" s="244" t="inlineStr">
        <is>
          <r>
            <t xml:space="preserve"> </t>
          </r>
        </is>
      </c>
      <c r="C17" s="244"/>
      <c r="D17" s="244"/>
      <c r="E17" s="244"/>
      <c r="F17" s="244"/>
      <c r="G17" s="244"/>
      <c r="H17" s="244"/>
      <c r="I17" s="263"/>
      <c r="J17" s="263"/>
      <c r="K17" s="263"/>
      <c r="L17" s="263"/>
      <c r="M17" s="263"/>
      <c r="N17" s="263"/>
      <c r="O17" s="244"/>
      <c r="P17" s="244"/>
      <c r="Q17" s="5"/>
      <c r="R17" s="244"/>
      <c r="S17" s="244"/>
      <c r="T17" s="244"/>
    </row>
    <row r="18" spans="1:20" customHeight="1" ht="21.75" s="244" customFormat="1">
      <c r="A18" s="264" t="inlineStr">
        <is>
          <r>
            <t xml:space="preserve">1.제  원 </t>
          </r>
        </is>
      </c>
      <c r="B18" s="253"/>
      <c r="C18" s="253"/>
      <c r="D18" s="253"/>
      <c r="E18" s="253"/>
      <c r="F18" s="253"/>
      <c r="G18" s="253"/>
      <c r="H18" s="253"/>
      <c r="I18" s="253"/>
      <c r="J18" s="254"/>
      <c r="K18" s="244"/>
      <c r="L18" s="265" t="inlineStr">
        <is>
          <r>
            <t xml:space="preserve">  4. 검사유효기간</t>
          </r>
        </is>
      </c>
      <c r="M18" s="253"/>
      <c r="N18" s="253"/>
      <c r="O18" s="253"/>
      <c r="P18" s="253"/>
      <c r="Q18" s="254"/>
      <c r="R18" s="244"/>
      <c r="S18" s="244"/>
      <c r="T18" s="244"/>
    </row>
    <row r="19" spans="1:20" customHeight="1" ht="20.45" s="244" customFormat="1">
      <c r="A19" s="60" t="inlineStr">
        <is>
          <r>
            <t xml:space="preserve">⑪</t>
          </r>
        </is>
      </c>
      <c r="B19" s="142" t="inlineStr">
        <is>
          <r>
            <t xml:space="preserve">제원관리번호</t>
          </r>
        </is>
      </c>
      <c r="C19" s="249"/>
      <c r="D19" s="249"/>
      <c r="E19" s="249"/>
      <c r="F19" s="266" t="str">
        <f>구매리스트!G5</f>
        <v>0</v>
      </c>
      <c r="G19" s="249"/>
      <c r="H19" s="249"/>
      <c r="I19" s="249"/>
      <c r="J19" s="250"/>
      <c r="K19" s="244"/>
      <c r="L19" s="165" t="inlineStr">
        <is>
          <r>
            <t xml:space="preserve">연월일</t>
          </r>
        </is>
      </c>
      <c r="M19" s="165" t="inlineStr">
        <is>
          <r>
            <t xml:space="preserve">연월일</t>
          </r>
        </is>
      </c>
      <c r="N19" s="165" t="inlineStr">
        <is>
          <r>
            <t xml:space="preserve">  검    사</t>
          </r>
        </is>
      </c>
      <c r="O19" s="165" t="inlineStr">
        <is>
          <r>
            <t xml:space="preserve">주  행</t>
          </r>
        </is>
      </c>
      <c r="P19" s="10" t="inlineStr">
        <is>
          <r>
            <t xml:space="preserve">  검사책</t>
          </r>
        </is>
      </c>
      <c r="Q19" s="165" t="inlineStr">
        <is>
          <r>
            <t xml:space="preserve">검  사</t>
          </r>
        </is>
      </c>
      <c r="R19" s="244"/>
      <c r="S19" s="244"/>
      <c r="T19" s="244"/>
    </row>
    <row r="20" spans="1:20" customHeight="1" ht="20.45" s="244" customFormat="1">
      <c r="A20" s="58" t="inlineStr">
        <is>
          <r>
            <t xml:space="preserve"> </t>
          </r>
        </is>
      </c>
      <c r="B20" s="147" t="inlineStr">
        <is>
          <r>
            <t xml:space="preserve">(형식승인번호) </t>
          </r>
        </is>
      </c>
      <c r="C20" s="251"/>
      <c r="D20" s="251"/>
      <c r="E20" s="251"/>
      <c r="F20" s="251"/>
      <c r="G20" s="251"/>
      <c r="H20" s="251"/>
      <c r="I20" s="251"/>
      <c r="J20" s="252"/>
      <c r="K20" s="244"/>
      <c r="L20" s="166" t="inlineStr">
        <is>
          <r>
            <t xml:space="preserve">부   터</t>
          </r>
        </is>
      </c>
      <c r="M20" s="166" t="inlineStr">
        <is>
          <r>
            <t xml:space="preserve">까   지</t>
          </r>
        </is>
      </c>
      <c r="N20" s="166" t="inlineStr">
        <is>
          <r>
            <t xml:space="preserve">  시행장소</t>
          </r>
        </is>
      </c>
      <c r="O20" s="166" t="inlineStr">
        <is>
          <r>
            <t xml:space="preserve">거  리</t>
          </r>
        </is>
      </c>
      <c r="P20" s="174" t="inlineStr">
        <is>
          <r>
            <t xml:space="preserve">임자확인</t>
          </r>
        </is>
      </c>
      <c r="Q20" s="166" t="inlineStr">
        <is>
          <r>
            <t xml:space="preserve">구  분</t>
          </r>
        </is>
      </c>
      <c r="R20" s="244"/>
      <c r="S20" s="244"/>
      <c r="T20" s="244"/>
    </row>
    <row r="21" spans="1:20" customHeight="1" ht="20.45" s="244" customFormat="1">
      <c r="A21" s="62" t="inlineStr">
        <is>
          <r>
            <t xml:space="preserve">⑫</t>
          </r>
        </is>
      </c>
      <c r="B21" s="148" t="inlineStr">
        <is>
          <r>
            <t xml:space="preserve">길  이</t>
          </r>
        </is>
      </c>
      <c r="C21" s="254"/>
      <c r="D21" s="156" t="str">
        <f>구매리스트!G7</f>
        <v>0</v>
      </c>
      <c r="E21" s="253"/>
      <c r="F21" s="16" t="inlineStr">
        <is>
          <r>
            <t xml:space="preserve">mm</t>
          </r>
        </is>
      </c>
      <c r="G21" s="63" t="inlineStr">
        <is>
          <r>
            <t xml:space="preserve">⑬</t>
          </r>
        </is>
      </c>
      <c r="H21" s="55" t="inlineStr">
        <is>
          <r>
            <t xml:space="preserve">너      비</t>
          </r>
        </is>
      </c>
      <c r="I21" s="120" t="str">
        <f>구매리스트!I7</f>
        <v>0</v>
      </c>
      <c r="J21" s="16" t="inlineStr">
        <is>
          <r>
            <t xml:space="preserve">mm</t>
          </r>
        </is>
      </c>
      <c r="K21" s="244"/>
      <c r="L21" s="121" t="str">
        <f>구매리스트!I10</f>
        <v>0</v>
      </c>
      <c r="M21" s="121" t="str">
        <f>구매리스트!I11</f>
        <v>0</v>
      </c>
      <c r="N21" s="12"/>
      <c r="O21" s="122" t="str">
        <f>구매리스트!I12</f>
        <v>0</v>
      </c>
      <c r="P21" s="13"/>
      <c r="Q21" s="13"/>
      <c r="R21" s="244"/>
      <c r="S21" s="244"/>
      <c r="T21" s="244"/>
    </row>
    <row r="22" spans="1:20" customHeight="1" ht="20.45" s="244" customFormat="1">
      <c r="A22" s="63" t="inlineStr">
        <is>
          <r>
            <t xml:space="preserve">⑭</t>
          </r>
        </is>
      </c>
      <c r="B22" s="148" t="inlineStr">
        <is>
          <r>
            <t xml:space="preserve">높  이</t>
          </r>
        </is>
      </c>
      <c r="C22" s="254"/>
      <c r="D22" s="141" t="str">
        <f>구매리스트!G8</f>
        <v>0</v>
      </c>
      <c r="E22" s="253"/>
      <c r="F22" s="16" t="inlineStr">
        <is>
          <r>
            <t xml:space="preserve">mm</t>
          </r>
        </is>
      </c>
      <c r="G22" s="67" t="inlineStr">
        <is>
          <r>
            <t xml:space="preserve">⑮</t>
          </r>
        </is>
      </c>
      <c r="H22" s="55" t="inlineStr">
        <is>
          <r>
            <t xml:space="preserve">총 중 량</t>
          </r>
        </is>
      </c>
      <c r="I22" s="120" t="str">
        <f>구매리스트!I8</f>
        <v>0</v>
      </c>
      <c r="J22" s="16" t="inlineStr">
        <is>
          <r>
            <t xml:space="preserve">kg</t>
          </r>
        </is>
      </c>
      <c r="K22" s="244"/>
      <c r="L22" s="14"/>
      <c r="M22" s="14"/>
      <c r="N22" s="14"/>
      <c r="O22" s="14"/>
      <c r="P22" s="14"/>
      <c r="Q22" s="14"/>
      <c r="R22" s="244"/>
      <c r="S22" s="244"/>
      <c r="T22" s="244"/>
    </row>
    <row r="23" spans="1:20" customHeight="1" ht="20.45" s="244" customFormat="1">
      <c r="A23" s="63" t="inlineStr">
        <is>
          <r>
            <t xml:space="preserve">⑯</t>
          </r>
        </is>
      </c>
      <c r="B23" s="148" t="inlineStr">
        <is>
          <r>
            <t xml:space="preserve">승차정원</t>
          </r>
        </is>
      </c>
      <c r="C23" s="254"/>
      <c r="D23" s="141" t="str">
        <f>구매리스트!G9</f>
        <v>0</v>
      </c>
      <c r="E23" s="253"/>
      <c r="F23" s="16" t="inlineStr">
        <is>
          <r>
            <t xml:space="preserve">명</t>
          </r>
        </is>
      </c>
      <c r="G23" s="61" t="inlineStr">
        <is>
          <r>
            <t xml:space="preserve">⑰</t>
          </r>
        </is>
      </c>
      <c r="H23" s="55" t="inlineStr">
        <is>
          <r>
            <t xml:space="preserve">최대적재량</t>
          </r>
        </is>
      </c>
      <c r="I23" s="11" t="str">
        <f>구매리스트!I9</f>
        <v>0</v>
      </c>
      <c r="J23" s="16" t="inlineStr">
        <is>
          <r>
            <t xml:space="preserve">kg</t>
          </r>
        </is>
      </c>
      <c r="K23" s="244"/>
      <c r="L23" s="14"/>
      <c r="M23" s="14"/>
      <c r="N23" s="14"/>
      <c r="O23" s="14"/>
      <c r="P23" s="14"/>
      <c r="Q23" s="14"/>
      <c r="R23" s="244"/>
      <c r="S23" s="244"/>
      <c r="T23" s="244"/>
    </row>
    <row r="24" spans="1:20" customHeight="1" ht="20.45" s="244" customFormat="1">
      <c r="A24" s="267" t="inlineStr">
        <is>
          <r>
            <t xml:space="preserve">⑱</t>
          </r>
        </is>
      </c>
      <c r="B24" s="143" t="inlineStr">
        <is>
          <r>
            <t xml:space="preserve">배기량 또는</t>
          </r>
        </is>
      </c>
      <c r="C24" s="250"/>
      <c r="D24" s="268" t="str">
        <f>구매리스트!G10</f>
        <v>0</v>
      </c>
      <c r="E24" s="249"/>
      <c r="F24" s="249"/>
      <c r="G24" s="249"/>
      <c r="H24" s="249"/>
      <c r="I24" s="269" t="inlineStr">
        <is>
          <r>
            <t xml:space="preserve">cc,(Ah ,[Ah]</t>
          </r>
        </is>
      </c>
      <c r="J24" s="250"/>
      <c r="K24" s="244"/>
      <c r="L24" s="14"/>
      <c r="M24" s="14"/>
      <c r="N24" s="14"/>
      <c r="O24" s="14"/>
      <c r="P24" s="14"/>
      <c r="Q24" s="14"/>
      <c r="R24" s="244"/>
      <c r="S24" s="244"/>
      <c r="T24" s="244"/>
    </row>
    <row r="25" spans="1:20" customHeight="1" ht="20.45" s="244" customFormat="1">
      <c r="A25" s="270"/>
      <c r="B25" s="144" t="inlineStr">
        <is>
          <r>
            <t xml:space="preserve">구동축전지 용량</t>
          </r>
        </is>
      </c>
      <c r="C25" s="261"/>
      <c r="D25" s="270"/>
      <c r="E25" s="244"/>
      <c r="F25" s="244"/>
      <c r="G25" s="244"/>
      <c r="H25" s="244"/>
      <c r="I25" s="244"/>
      <c r="J25" s="261"/>
      <c r="K25" s="244"/>
      <c r="L25" s="15"/>
      <c r="M25" s="15"/>
      <c r="N25" s="15"/>
      <c r="O25" s="15"/>
      <c r="P25" s="15"/>
      <c r="Q25" s="15"/>
      <c r="R25" s="244"/>
      <c r="S25" s="244"/>
      <c r="T25" s="244"/>
    </row>
    <row r="26" spans="1:20" customHeight="1" ht="20.45" s="244" customFormat="1">
      <c r="A26" s="271"/>
      <c r="B26" s="251"/>
      <c r="C26" s="252"/>
      <c r="D26" s="271"/>
      <c r="E26" s="251"/>
      <c r="F26" s="251"/>
      <c r="G26" s="251"/>
      <c r="H26" s="251"/>
      <c r="I26" s="251"/>
      <c r="J26" s="252"/>
      <c r="K26" s="244"/>
      <c r="L26" s="68"/>
      <c r="M26" s="68"/>
      <c r="N26" s="68"/>
      <c r="O26" s="68"/>
      <c r="P26" s="68"/>
      <c r="Q26" s="68"/>
      <c r="R26" s="244"/>
      <c r="S26" s="244"/>
      <c r="T26" s="244"/>
    </row>
    <row r="27" spans="1:20" customHeight="1" ht="20.45" s="244" customFormat="1">
      <c r="A27" s="63" t="inlineStr">
        <is>
          <r>
            <t xml:space="preserve">⑲</t>
          </r>
        </is>
      </c>
      <c r="B27" s="148" t="inlineStr">
        <is>
          <r>
            <t xml:space="preserve">정격출력</t>
          </r>
        </is>
      </c>
      <c r="C27" s="254"/>
      <c r="D27" s="141" t="str">
        <f>구매리스트!G11</f>
        <v>0</v>
      </c>
      <c r="E27" s="253"/>
      <c r="F27" s="253"/>
      <c r="G27" s="253"/>
      <c r="H27" s="140" t="inlineStr">
        <is>
          <r>
            <t xml:space="preserve">Ps/rpm,(kW/rpm),[kW/rpm]</t>
          </r>
        </is>
      </c>
      <c r="I27" s="253"/>
      <c r="J27" s="254"/>
      <c r="K27" s="244"/>
      <c r="L27" s="14"/>
      <c r="M27" s="14"/>
      <c r="N27" s="14"/>
      <c r="O27" s="14"/>
      <c r="P27" s="14"/>
      <c r="Q27" s="14"/>
      <c r="R27" s="244"/>
      <c r="S27" s="244"/>
      <c r="T27" s="244"/>
    </row>
    <row r="28" spans="1:20" customHeight="1" ht="20.45" s="244" customFormat="1">
      <c r="A28" s="64" t="inlineStr">
        <is>
          <r>
            <t xml:space="preserve">⑳</t>
          </r>
        </is>
      </c>
      <c r="B28" s="143" t="inlineStr">
        <is>
          <r>
            <t xml:space="preserve">기통수</t>
          </r>
        </is>
      </c>
      <c r="C28" s="250"/>
      <c r="D28" s="272" t="str">
        <f>구매리스트!G12</f>
        <v>0</v>
      </c>
      <c r="E28" s="249"/>
      <c r="F28" s="249"/>
      <c r="G28" s="249"/>
      <c r="H28" s="249"/>
      <c r="I28" s="137" t="inlineStr">
        <is>
          <r>
            <t xml:space="preserve">기통,(V),[kW]</t>
          </r>
        </is>
      </c>
      <c r="J28" s="250"/>
      <c r="K28" s="244"/>
      <c r="L28" s="14"/>
      <c r="M28" s="14"/>
      <c r="N28" s="14"/>
      <c r="O28" s="14"/>
      <c r="P28" s="14"/>
      <c r="Q28" s="14"/>
      <c r="R28" s="244"/>
      <c r="S28" s="244"/>
      <c r="T28" s="244"/>
    </row>
    <row r="29" spans="1:20" customHeight="1" ht="20.45" s="244" customFormat="1">
      <c r="A29" s="273" t="inlineStr">
        <is>
          <r>
            <t xml:space="preserve">(구동축전지정격전압)</t>
          </r>
        </is>
      </c>
      <c r="B29" s="244"/>
      <c r="C29" s="261"/>
      <c r="D29" s="270"/>
      <c r="E29" s="244"/>
      <c r="F29" s="244"/>
      <c r="G29" s="244"/>
      <c r="H29" s="244"/>
      <c r="I29" s="244"/>
      <c r="J29" s="261"/>
      <c r="K29" s="244"/>
      <c r="L29" s="14"/>
      <c r="M29" s="14"/>
      <c r="N29" s="14"/>
      <c r="O29" s="14"/>
      <c r="P29" s="14"/>
      <c r="Q29" s="14"/>
      <c r="R29" s="244"/>
      <c r="S29" s="244"/>
      <c r="T29" s="244"/>
    </row>
    <row r="30" spans="1:20" customHeight="1" ht="20.45" s="244" customFormat="1">
      <c r="A30" s="274" t="inlineStr">
        <is>
          <r>
            <t xml:space="preserve">[연료전지 최고출력]</t>
          </r>
        </is>
      </c>
      <c r="B30" s="251"/>
      <c r="C30" s="252"/>
      <c r="D30" s="271"/>
      <c r="E30" s="251"/>
      <c r="F30" s="251"/>
      <c r="G30" s="251"/>
      <c r="H30" s="251"/>
      <c r="I30" s="251"/>
      <c r="J30" s="252"/>
      <c r="K30" s="244"/>
      <c r="L30" s="15"/>
      <c r="M30" s="15"/>
      <c r="N30" s="15"/>
      <c r="O30" s="15"/>
      <c r="P30" s="15"/>
      <c r="Q30" s="15"/>
      <c r="R30" s="244"/>
      <c r="S30" s="244"/>
      <c r="T30" s="244"/>
    </row>
    <row r="31" spans="1:20" customHeight="1" ht="20.45" s="244" customFormat="1">
      <c r="A31" s="65" t="inlineStr">
        <is>
          <r>
            <t xml:space="preserve">㉑ </t>
          </r>
        </is>
      </c>
      <c r="B31" s="159" t="inlineStr">
        <is>
          <r>
            <t xml:space="preserve">연료의종류 및 연료소비율</t>
          </r>
        </is>
      </c>
      <c r="C31" s="254"/>
      <c r="D31" s="146" t="str">
        <f>구매리스트!G13</f>
        <v>0</v>
      </c>
      <c r="E31" s="253"/>
      <c r="F31" s="145" t="str">
        <f>구매리스트!H13</f>
        <v>0</v>
      </c>
      <c r="G31" s="253"/>
      <c r="H31" s="160" t="inlineStr">
        <is>
          <r>
            <t xml:space="preserve">km/l,(km/kWh),[km/kg]</t>
          </r>
        </is>
      </c>
      <c r="I31" s="253"/>
      <c r="J31" s="254"/>
      <c r="K31" s="244"/>
      <c r="L31" s="14"/>
      <c r="M31" s="14"/>
      <c r="N31" s="14"/>
      <c r="O31" s="14"/>
      <c r="P31" s="14"/>
      <c r="Q31" s="14"/>
      <c r="R31" s="244"/>
      <c r="S31" s="244"/>
      <c r="T31" s="244"/>
    </row>
    <row r="32" spans="1:20" customHeight="1" ht="20.45" s="244" customFormat="1">
      <c r="A32" s="66" t="inlineStr">
        <is>
          <r>
            <t xml:space="preserve">㉒ </t>
          </r>
        </is>
      </c>
      <c r="B32" s="157" t="inlineStr">
        <is>
          <r>
            <t xml:space="preserve">구동축전지 셀의제조사</t>
          </r>
        </is>
      </c>
      <c r="C32" s="254"/>
      <c r="D32" s="275" t="inlineStr">
        <is>
          <r>
            <t xml:space="preserve"> </t>
          </r>
        </is>
      </c>
      <c r="E32" s="253"/>
      <c r="F32" s="254"/>
      <c r="G32" s="59" t="inlineStr">
        <is>
          <r>
            <t xml:space="preserve">㉓</t>
          </r>
        </is>
      </c>
      <c r="H32" s="57" t="inlineStr">
        <is>
          <r>
            <t xml:space="preserve">구동축전지 셀의형태</t>
          </r>
        </is>
      </c>
      <c r="I32" s="275" t="inlineStr">
        <is>
          <r>
            <t xml:space="preserve"> </t>
          </r>
        </is>
      </c>
      <c r="J32" s="254"/>
      <c r="K32" s="244"/>
      <c r="L32" s="14"/>
      <c r="M32" s="14"/>
      <c r="N32" s="14"/>
      <c r="O32" s="14"/>
      <c r="P32" s="14"/>
      <c r="Q32" s="14"/>
      <c r="R32" s="244"/>
      <c r="S32" s="244"/>
      <c r="T32" s="244"/>
    </row>
    <row r="33" spans="1:20" customHeight="1" ht="20.45" s="244" customFormat="1">
      <c r="A33" s="66" t="inlineStr">
        <is>
          <r>
            <t xml:space="preserve">㉔ </t>
          </r>
        </is>
      </c>
      <c r="B33" s="158" t="inlineStr">
        <is>
          <r>
            <t xml:space="preserve">구동축전지셀의주요원료</t>
          </r>
        </is>
      </c>
      <c r="C33" s="254"/>
      <c r="D33" s="275" t="inlineStr">
        <is>
          <r>
            <t xml:space="preserve"> </t>
          </r>
        </is>
      </c>
      <c r="E33" s="253"/>
      <c r="F33" s="254"/>
      <c r="G33" s="136" t="inlineStr">
        <is>
          <r>
            <t xml:space="preserve"> </t>
          </r>
        </is>
      </c>
      <c r="H33" s="254"/>
      <c r="I33" s="275" t="inlineStr">
        <is>
          <r>
            <t xml:space="preserve"> </t>
          </r>
        </is>
      </c>
      <c r="J33" s="254"/>
      <c r="K33" s="244"/>
      <c r="L33" s="14"/>
      <c r="M33" s="14"/>
      <c r="N33" s="14"/>
      <c r="O33" s="14"/>
      <c r="P33" s="14"/>
      <c r="Q33" s="14"/>
      <c r="R33" s="244"/>
      <c r="S33" s="244"/>
      <c r="T33" s="244"/>
    </row>
    <row r="34" spans="1:20" customHeight="1" ht="20.45" s="244" customFormat="1">
      <c r="A34" s="276" t="inlineStr">
        <is>
          <r>
            <t xml:space="preserve">유의사항 : ⑱~㉑에서 기재 단위는 사용연료의 종류가 전기인 자동차의 경우는 (),수소전기자동차의 경우는[]을 말합니다.「자동차관리법 시행규칙」별표1 제2회의 특수자동차의 경우 최대적재량은 피견인자동차를 연결하기위해 허용되는 최대수직하중을 말하며 견인능력과는무관합니다,㉒~㉔는 구동축전지를 갖춘 자동차(외부 전기공급원을 통해 충전할 수 없는 구조인 자동차는제외)의경우만 해당합니다.</t>
          </r>
        </is>
      </c>
      <c r="B34" s="249"/>
      <c r="C34" s="249"/>
      <c r="D34" s="249"/>
      <c r="E34" s="249"/>
      <c r="F34" s="249"/>
      <c r="G34" s="249"/>
      <c r="H34" s="249"/>
      <c r="I34" s="249"/>
      <c r="J34" s="250"/>
      <c r="K34" s="244"/>
      <c r="L34" s="14"/>
      <c r="M34" s="14"/>
      <c r="N34" s="14"/>
      <c r="O34" s="14"/>
      <c r="P34" s="14"/>
      <c r="Q34" s="14"/>
      <c r="R34" s="244"/>
      <c r="S34" s="244"/>
      <c r="T34" s="244"/>
    </row>
    <row r="35" spans="1:20" customHeight="1" ht="20.45" s="244" customFormat="1">
      <c r="A35" s="270"/>
      <c r="B35" s="244"/>
      <c r="C35" s="244"/>
      <c r="D35" s="244"/>
      <c r="E35" s="244"/>
      <c r="F35" s="244"/>
      <c r="G35" s="244"/>
      <c r="H35" s="244"/>
      <c r="I35" s="244"/>
      <c r="J35" s="261"/>
      <c r="K35" s="244"/>
      <c r="L35" s="14"/>
      <c r="M35" s="14"/>
      <c r="N35" s="14"/>
      <c r="O35" s="14"/>
      <c r="P35" s="14"/>
      <c r="Q35" s="14"/>
      <c r="R35" s="244"/>
      <c r="S35" s="244"/>
      <c r="T35" s="244"/>
    </row>
    <row r="36" spans="1:20" customHeight="1" ht="20.45" s="244" customFormat="1">
      <c r="A36" s="270"/>
      <c r="B36" s="244"/>
      <c r="C36" s="244"/>
      <c r="D36" s="244"/>
      <c r="E36" s="244"/>
      <c r="F36" s="244"/>
      <c r="G36" s="244"/>
      <c r="H36" s="244"/>
      <c r="I36" s="244"/>
      <c r="J36" s="261"/>
      <c r="K36" s="244"/>
      <c r="L36" s="14"/>
      <c r="M36" s="14"/>
      <c r="N36" s="14"/>
      <c r="O36" s="14"/>
      <c r="P36" s="14"/>
      <c r="Q36" s="14"/>
      <c r="R36" s="244"/>
      <c r="S36" s="244"/>
      <c r="T36" s="244"/>
    </row>
    <row r="37" spans="1:20" customHeight="1" ht="20.45" s="244" customFormat="1">
      <c r="A37" s="271"/>
      <c r="B37" s="251"/>
      <c r="C37" s="251"/>
      <c r="D37" s="251"/>
      <c r="E37" s="251"/>
      <c r="F37" s="251"/>
      <c r="G37" s="251"/>
      <c r="H37" s="251"/>
      <c r="I37" s="251"/>
      <c r="J37" s="252"/>
      <c r="K37" s="244"/>
      <c r="L37" s="15"/>
      <c r="M37" s="15"/>
      <c r="N37" s="15"/>
      <c r="O37" s="15"/>
      <c r="P37" s="15"/>
      <c r="Q37" s="15"/>
      <c r="R37" s="244"/>
      <c r="S37" s="244"/>
      <c r="T37" s="244"/>
    </row>
    <row r="38" spans="1:20" customHeight="1" ht="25.5" s="244" customFormat="1">
      <c r="A38" s="172" t="inlineStr">
        <is>
          <r>
            <t xml:space="preserve">2.등록번호판 교부 및 봉인</t>
          </r>
        </is>
      </c>
      <c r="B38" s="253"/>
      <c r="C38" s="253"/>
      <c r="D38" s="253"/>
      <c r="E38" s="253"/>
      <c r="F38" s="253"/>
      <c r="G38" s="253"/>
      <c r="H38" s="253"/>
      <c r="I38" s="253"/>
      <c r="J38" s="254"/>
      <c r="K38" s="244"/>
      <c r="L38" s="277" t="inlineStr">
        <is>
          <r>
            <t xml:space="preserve">※ 주의사항 :      ㉚ 항 첫째란에는 신규등록일을 적습니다.</t>
          </r>
        </is>
      </c>
      <c r="M38" s="249"/>
      <c r="N38" s="249"/>
      <c r="O38" s="249"/>
      <c r="P38" s="249"/>
      <c r="Q38" s="250"/>
      <c r="R38" s="244"/>
      <c r="S38" s="244"/>
      <c r="T38" s="244"/>
    </row>
    <row r="39" spans="1:20" customHeight="1" ht="25.5" s="244" customFormat="1">
      <c r="A39" s="278" t="inlineStr">
        <is>
          <r>
            <t xml:space="preserve">㉕ 구분</t>
          </r>
        </is>
      </c>
      <c r="B39" s="253"/>
      <c r="C39" s="254"/>
      <c r="D39" s="172" t="inlineStr">
        <is>
          <r>
            <t xml:space="preserve"> ㉖ 번호판발급일</t>
          </r>
        </is>
      </c>
      <c r="E39" s="253"/>
      <c r="F39" s="253"/>
      <c r="G39" s="254"/>
      <c r="H39" s="278" t="inlineStr">
        <is>
          <r>
            <t xml:space="preserve">㉗ 발급대행자확인</t>
          </r>
        </is>
      </c>
      <c r="I39" s="253"/>
      <c r="J39" s="254"/>
      <c r="K39" s="244"/>
      <c r="L39" s="279" t="inlineStr">
        <is>
          <r>
            <t xml:space="preserve">   비고</t>
          </r>
        </is>
      </c>
      <c r="M39" s="249"/>
      <c r="N39" s="249"/>
      <c r="O39" s="249"/>
      <c r="P39" s="249"/>
      <c r="Q39" s="250"/>
      <c r="R39" s="244"/>
      <c r="S39" s="244"/>
      <c r="T39" s="244"/>
    </row>
    <row r="40" spans="1:20" customHeight="1" ht="19.5" s="244" customFormat="1">
      <c r="A40" s="136" t="inlineStr">
        <is>
          <r>
            <t xml:space="preserve"> </t>
          </r>
        </is>
      </c>
      <c r="B40" s="254"/>
      <c r="C40" s="136" t="inlineStr">
        <is>
          <r>
            <t xml:space="preserve"> </t>
          </r>
        </is>
      </c>
      <c r="D40" s="253"/>
      <c r="E40" s="254"/>
      <c r="F40" s="136" t="inlineStr">
        <is>
          <r>
            <t xml:space="preserve"> </t>
          </r>
        </is>
      </c>
      <c r="G40" s="254"/>
      <c r="H40" s="136" t="inlineStr">
        <is>
          <r>
            <t xml:space="preserve"> </t>
          </r>
        </is>
      </c>
      <c r="I40" s="253"/>
      <c r="J40" s="254"/>
      <c r="K40" s="244"/>
      <c r="L40" s="4"/>
      <c r="M40" s="244"/>
      <c r="N40" s="244"/>
      <c r="O40" s="244"/>
      <c r="P40" s="244"/>
      <c r="Q40" s="5"/>
      <c r="R40" s="244"/>
      <c r="S40" s="244"/>
      <c r="T40" s="244"/>
    </row>
    <row r="41" spans="1:20" customHeight="1" ht="19.5" s="244" customFormat="1">
      <c r="A41" s="136" t="inlineStr">
        <is>
          <r>
            <t xml:space="preserve"> </t>
          </r>
        </is>
      </c>
      <c r="B41" s="254"/>
      <c r="C41" s="136" t="inlineStr">
        <is>
          <r>
            <t xml:space="preserve"> </t>
          </r>
        </is>
      </c>
      <c r="D41" s="253"/>
      <c r="E41" s="254"/>
      <c r="F41" s="136" t="inlineStr">
        <is>
          <r>
            <t xml:space="preserve"> </t>
          </r>
        </is>
      </c>
      <c r="G41" s="254"/>
      <c r="H41" s="136" t="inlineStr">
        <is>
          <r>
            <t xml:space="preserve"> </t>
          </r>
        </is>
      </c>
      <c r="I41" s="253"/>
      <c r="J41" s="254"/>
      <c r="K41" s="244"/>
      <c r="L41" s="4"/>
      <c r="M41" s="244"/>
      <c r="N41" s="244"/>
      <c r="O41" s="244" t="inlineStr">
        <is>
          <r>
            <t xml:space="preserve"> </t>
          </r>
        </is>
      </c>
      <c r="P41" s="244"/>
      <c r="Q41" s="5"/>
      <c r="R41" s="244"/>
      <c r="S41" s="244"/>
      <c r="T41" s="244"/>
    </row>
    <row r="42" spans="1:20" customHeight="1" ht="33" s="244" customFormat="1">
      <c r="A42" s="265" t="inlineStr">
        <is>
          <r>
            <t xml:space="preserve">3. 저당권등록사실(저당권등록의 내용은 자동차등록원부(을)를
     열람,확인하시기 바랍니다)</t>
          </r>
        </is>
      </c>
      <c r="B42" s="253"/>
      <c r="C42" s="253"/>
      <c r="D42" s="253"/>
      <c r="E42" s="253"/>
      <c r="F42" s="253"/>
      <c r="G42" s="253"/>
      <c r="H42" s="253"/>
      <c r="I42" s="253"/>
      <c r="J42" s="254"/>
      <c r="K42" s="244"/>
      <c r="L42" s="4"/>
      <c r="M42" s="244"/>
      <c r="N42" s="244"/>
      <c r="O42" s="244"/>
      <c r="P42" s="244"/>
      <c r="Q42" s="5"/>
      <c r="R42" s="244"/>
      <c r="S42" s="244"/>
      <c r="T42" s="244"/>
    </row>
    <row r="43" spans="1:20" customHeight="1" ht="22.5" s="244" customFormat="1">
      <c r="A43" s="280" t="inlineStr">
        <is>
          <r>
            <t xml:space="preserve">㉘ 구분(설정 또는 말소)</t>
          </r>
        </is>
      </c>
      <c r="B43" s="253"/>
      <c r="C43" s="253"/>
      <c r="D43" s="253"/>
      <c r="E43" s="253"/>
      <c r="F43" s="253"/>
      <c r="G43" s="254"/>
      <c r="H43" s="161" t="inlineStr">
        <is>
          <r>
            <t xml:space="preserve">㉙ 날         짜</t>
          </r>
        </is>
      </c>
      <c r="I43" s="253"/>
      <c r="J43" s="254"/>
      <c r="K43" s="244"/>
      <c r="L43" s="4"/>
      <c r="M43" s="244"/>
      <c r="N43" s="244"/>
      <c r="O43" s="244"/>
      <c r="P43" s="244"/>
      <c r="Q43" s="5"/>
      <c r="R43" s="244"/>
      <c r="S43" s="244"/>
      <c r="T43" s="244"/>
    </row>
    <row r="44" spans="1:20" customHeight="1" ht="19.5" s="244" customFormat="1">
      <c r="A44" s="136" t="inlineStr">
        <is>
          <r>
            <t xml:space="preserve"> </t>
          </r>
        </is>
      </c>
      <c r="B44" s="253"/>
      <c r="C44" s="253"/>
      <c r="D44" s="253"/>
      <c r="E44" s="253"/>
      <c r="F44" s="253"/>
      <c r="G44" s="254"/>
      <c r="H44" s="136" t="inlineStr">
        <is>
          <r>
            <t xml:space="preserve"> </t>
          </r>
        </is>
      </c>
      <c r="I44" s="253"/>
      <c r="J44" s="254"/>
      <c r="K44" s="244"/>
      <c r="L44" s="4"/>
      <c r="M44" s="244"/>
      <c r="N44" s="244"/>
      <c r="O44" s="244"/>
      <c r="P44" s="244"/>
      <c r="Q44" s="5"/>
      <c r="R44" s="244"/>
      <c r="S44" s="244"/>
      <c r="T44" s="244"/>
    </row>
    <row r="45" spans="1:20" customHeight="1" ht="19.5" s="244" customFormat="1">
      <c r="A45" s="136" t="inlineStr">
        <is>
          <r>
            <t xml:space="preserve"> </t>
          </r>
        </is>
      </c>
      <c r="B45" s="253"/>
      <c r="C45" s="253"/>
      <c r="D45" s="253"/>
      <c r="E45" s="253"/>
      <c r="F45" s="253"/>
      <c r="G45" s="254"/>
      <c r="H45" s="136" t="inlineStr">
        <is>
          <r>
            <t xml:space="preserve"> </t>
          </r>
        </is>
      </c>
      <c r="I45" s="253"/>
      <c r="J45" s="254"/>
      <c r="K45" s="8"/>
      <c r="L45" s="7"/>
      <c r="M45" s="8"/>
      <c r="N45" s="8"/>
      <c r="O45" s="8"/>
      <c r="P45" s="8"/>
      <c r="Q45" s="9"/>
      <c r="R45" s="244"/>
      <c r="S45" s="244"/>
      <c r="T45" s="244"/>
    </row>
    <row r="46" spans="1:20" customHeight="1" ht="6" s="244" customFormat="1">
      <c r="A46" s="244"/>
      <c r="B46" s="244"/>
      <c r="C46" s="244"/>
      <c r="D46" s="244"/>
      <c r="E46" s="244"/>
      <c r="F46" s="244"/>
      <c r="G46" s="244"/>
      <c r="H46" s="244"/>
      <c r="I46" s="244"/>
      <c r="J46" s="244"/>
      <c r="K46" s="244"/>
      <c r="L46" s="244"/>
      <c r="M46" s="244"/>
      <c r="N46" s="244"/>
      <c r="O46" s="244"/>
      <c r="P46" s="244"/>
      <c r="Q46" s="244"/>
      <c r="R46" s="244"/>
      <c r="S46" s="244"/>
      <c r="T46" s="244"/>
    </row>
    <row r="47" spans="1:20" customHeight="1" ht="23.25" s="244" customFormat="1">
      <c r="A47" s="244"/>
      <c r="B47" s="244"/>
      <c r="C47" s="244"/>
      <c r="D47" s="244"/>
      <c r="E47" s="244"/>
      <c r="F47" s="244"/>
      <c r="G47" s="162" t="inlineStr">
        <is>
          <r>
            <t xml:space="preserve">※ 뒷면의 '유의사항'을 꼭 읽어보시기 바랍니다.</t>
          </r>
        </is>
      </c>
      <c r="H47" s="244"/>
      <c r="I47" s="244"/>
      <c r="J47" s="244"/>
      <c r="K47" s="244"/>
      <c r="L47" s="244"/>
      <c r="M47" s="244"/>
      <c r="N47" s="163" t="inlineStr">
        <is>
          <r>
            <t xml:space="preserve">210㎜ x 297㎜[백상지 또는 중질지 80g/㎡]</t>
          </r>
        </is>
      </c>
      <c r="O47" s="244"/>
      <c r="P47" s="244"/>
      <c r="Q47" s="244"/>
      <c r="R47" s="244"/>
      <c r="S47" s="244"/>
      <c r="T47" s="244"/>
    </row>
  </sheetData>
  <mergeCells>
    <mergeCell ref="A5:D5"/>
    <mergeCell ref="L18:Q18"/>
    <mergeCell ref="C40:E40"/>
    <mergeCell ref="B22:C22"/>
    <mergeCell ref="D22:E22"/>
    <mergeCell ref="B31:C31"/>
    <mergeCell ref="E5:I5"/>
    <mergeCell ref="D31:E31"/>
    <mergeCell ref="B21:C21"/>
    <mergeCell ref="E4:I4"/>
    <mergeCell ref="A41:B41"/>
    <mergeCell ref="J15:Q15"/>
    <mergeCell ref="A24:A26"/>
    <mergeCell ref="F19:J20"/>
    <mergeCell ref="A45:G45"/>
    <mergeCell ref="I24:J26"/>
    <mergeCell ref="A7:D7"/>
    <mergeCell ref="B11:Q11"/>
    <mergeCell ref="B24:C24"/>
    <mergeCell ref="B33:C33"/>
    <mergeCell ref="H44:J44"/>
    <mergeCell ref="M5:O5"/>
    <mergeCell ref="H31:J31"/>
    <mergeCell ref="A34:J37"/>
    <mergeCell ref="H40:J40"/>
    <mergeCell ref="B32:C32"/>
    <mergeCell ref="A38:J38"/>
    <mergeCell ref="B27:C27"/>
    <mergeCell ref="L38:Q38"/>
    <mergeCell ref="I32:J32"/>
    <mergeCell ref="H27:J27"/>
    <mergeCell ref="A29:C29"/>
    <mergeCell ref="E6:I6"/>
    <mergeCell ref="G33:H33"/>
    <mergeCell ref="I33:J33"/>
    <mergeCell ref="A2:Q2"/>
    <mergeCell ref="F31:G31"/>
    <mergeCell ref="A8:B8"/>
    <mergeCell ref="C8:D8"/>
    <mergeCell ref="J5:L5"/>
    <mergeCell ref="A18:J18"/>
    <mergeCell ref="D23:E23"/>
    <mergeCell ref="A42:J42"/>
    <mergeCell ref="P4:Q4"/>
    <mergeCell ref="J6:L6"/>
    <mergeCell ref="D39:G39"/>
    <mergeCell ref="D32:F32"/>
    <mergeCell ref="L39:Q39"/>
    <mergeCell ref="J4:L4"/>
    <mergeCell ref="A43:G43"/>
    <mergeCell ref="E8:I8"/>
    <mergeCell ref="H45:J45"/>
    <mergeCell ref="D33:F33"/>
    <mergeCell ref="M6:Q6"/>
    <mergeCell ref="B28:C28"/>
    <mergeCell ref="J8:L8"/>
    <mergeCell ref="A30:C30"/>
    <mergeCell ref="D27:G27"/>
    <mergeCell ref="D24:H26"/>
    <mergeCell ref="A10:Q10"/>
    <mergeCell ref="B19:E19"/>
    <mergeCell ref="P5:Q5"/>
    <mergeCell ref="A40:B40"/>
    <mergeCell ref="H39:J39"/>
    <mergeCell ref="C41:E41"/>
    <mergeCell ref="A4:D4"/>
    <mergeCell ref="G47:M47"/>
    <mergeCell ref="B20:E20"/>
    <mergeCell ref="F40:G40"/>
    <mergeCell ref="E7:Q7"/>
    <mergeCell ref="D21:E21"/>
    <mergeCell ref="A44:G44"/>
    <mergeCell ref="B23:C23"/>
    <mergeCell ref="N47:Q47"/>
    <mergeCell ref="F41:G41"/>
    <mergeCell ref="L13:O13"/>
    <mergeCell ref="A6:D6"/>
    <mergeCell ref="B25:C26"/>
    <mergeCell ref="I28:J30"/>
    <mergeCell ref="D28:H30"/>
    <mergeCell ref="A39:C39"/>
    <mergeCell ref="M3:N3"/>
    <mergeCell ref="O3:Q3"/>
    <mergeCell ref="H43:J43"/>
    <mergeCell ref="M8:Q8"/>
    <mergeCell ref="H41:J41"/>
    <mergeCell ref="M4:N4"/>
    <mergeCell ref="C3:G3"/>
  </mergeCells>
  <printOptions gridLines="false" gridLinesSet="true" horizontalCentered="true"/>
  <pageMargins left="0.16" right="0.17" top="0.39370078740157" bottom="0.43" header="0.31496062992126" footer="0.31496062992126"/>
  <pageSetup paperSize="9" orientation="portrait" scale="73"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W47"/>
  <sheetViews>
    <sheetView tabSelected="0" workbookViewId="0" zoomScale="90" zoomScaleNormal="90" showGridLines="true" showRowColHeaders="1">
      <selection activeCell="F31" sqref="F31"/>
    </sheetView>
  </sheetViews>
  <sheetFormatPr defaultRowHeight="14.4" outlineLevelRow="0" outlineLevelCol="0"/>
  <cols>
    <col min="1" max="1" width="3.25" customWidth="true" style="244"/>
    <col min="2" max="2" width="4.125" customWidth="true" style="244"/>
    <col min="3" max="3" width="11.125" customWidth="true" style="244"/>
    <col min="4" max="4" width="4.125" customWidth="true" style="244"/>
    <col min="5" max="5" width="4.125" customWidth="true" style="244"/>
    <col min="6" max="6" width="4.75" customWidth="true" style="244"/>
    <col min="7" max="7" width="3.25" customWidth="true" style="244"/>
    <col min="8" max="8" width="11.625" customWidth="true" style="244"/>
    <col min="9" max="9" width="8.25" customWidth="true" style="244"/>
    <col min="10" max="10" width="4.875" customWidth="true" style="244"/>
    <col min="11" max="11" width="2.125" customWidth="true" style="244"/>
    <col min="12" max="12" width="10.875" customWidth="true" style="244"/>
    <col min="13" max="13" width="12.375" customWidth="true" style="244"/>
    <col min="14" max="14" width="9.5" customWidth="true" style="244"/>
    <col min="16" max="16" width="10.625" customWidth="true" style="244"/>
    <col min="17" max="17" width="9.125" customWidth="true" style="244"/>
  </cols>
  <sheetData>
    <row r="1" spans="1:23">
      <c r="A1" s="71" t="inlineStr">
        <is>
          <r>
            <t xml:space="preserve">■Motor Vehicle Registration Rules [Attachment No. 1 Form] &lt;Revised 2017. 10. 26&gt; For export customs clearance</t>
          </r>
        </is>
      </c>
      <c r="B1" s="69"/>
      <c r="C1" s="69"/>
      <c r="D1" s="69"/>
      <c r="E1" s="69"/>
      <c r="F1" s="69"/>
      <c r="G1" s="69"/>
      <c r="H1" s="69"/>
      <c r="I1" s="69"/>
      <c r="J1" s="69"/>
      <c r="K1" s="69"/>
      <c r="L1" s="69"/>
      <c r="M1" s="69"/>
      <c r="N1" s="69"/>
      <c r="O1" s="69"/>
      <c r="P1" s="69"/>
      <c r="Q1" s="70" t="inlineStr">
        <is>
          <r>
            <t xml:space="preserve">(front page)</t>
          </r>
        </is>
      </c>
      <c r="R1"/>
      <c r="S1"/>
      <c r="T1"/>
      <c r="U1"/>
      <c r="V1"/>
      <c r="W1"/>
    </row>
    <row r="2" spans="1:23" customHeight="1" ht="60" s="244" customFormat="1">
      <c r="A2" s="281" t="inlineStr">
        <is>
          <r>
            <t xml:space="preserve">Certificate of Registration of Automobile</t>
          </r>
        </is>
      </c>
      <c r="B2" s="249"/>
      <c r="C2" s="249"/>
      <c r="D2" s="249"/>
      <c r="E2" s="249"/>
      <c r="F2" s="249"/>
      <c r="G2" s="249"/>
      <c r="H2" s="249"/>
      <c r="I2" s="249"/>
      <c r="J2" s="249"/>
      <c r="K2" s="249"/>
      <c r="L2" s="249"/>
      <c r="M2" s="249"/>
      <c r="N2" s="249"/>
      <c r="O2" s="249"/>
      <c r="P2" s="249"/>
      <c r="Q2" s="250"/>
      <c r="R2" s="244"/>
      <c r="S2" s="244"/>
      <c r="T2" s="244"/>
      <c r="U2" s="244"/>
      <c r="V2" s="244"/>
      <c r="W2" s="244"/>
    </row>
    <row r="3" spans="1:23" customHeight="1" ht="23.25" s="244" customFormat="1">
      <c r="A3" s="1"/>
      <c r="B3" s="2" t="inlineStr">
        <is>
          <r>
            <t xml:space="preserve">No</t>
          </r>
        </is>
      </c>
      <c r="C3" s="153" t="str">
        <f>구매리스트!G3</f>
        <v>0</v>
      </c>
      <c r="D3" s="251"/>
      <c r="E3" s="251"/>
      <c r="F3" s="251"/>
      <c r="G3" s="251"/>
      <c r="H3" s="17" t="inlineStr">
        <is>
          <r>
            <t xml:space="preserve"> </t>
          </r>
        </is>
      </c>
      <c r="I3" s="2" t="inlineStr">
        <is>
          <r>
            <t xml:space="preserve"> </t>
          </r>
        </is>
      </c>
      <c r="J3" s="164" t="inlineStr">
        <is>
          <r>
            <t xml:space="preserve">First Registration Date : </t>
          </r>
        </is>
      </c>
      <c r="K3" s="251"/>
      <c r="L3" s="251"/>
      <c r="M3" s="251"/>
      <c r="N3" s="251"/>
      <c r="O3" s="175" t="str">
        <f>구매리스트!B6</f>
        <v>0</v>
      </c>
      <c r="P3" s="251"/>
      <c r="Q3" s="252"/>
      <c r="R3" s="244"/>
      <c r="S3" s="244"/>
      <c r="T3" s="244"/>
      <c r="U3" s="244"/>
      <c r="V3" s="244"/>
      <c r="W3" s="244"/>
    </row>
    <row r="4" spans="1:23" customHeight="1" ht="30" s="244" customFormat="1">
      <c r="A4" s="172" t="inlineStr">
        <is>
          <r>
            <t xml:space="preserve">① Registration No.</t>
          </r>
        </is>
      </c>
      <c r="B4" s="253"/>
      <c r="C4" s="253"/>
      <c r="D4" s="254"/>
      <c r="E4" s="151" t="str">
        <f>구매리스트!D4</f>
        <v>0</v>
      </c>
      <c r="F4" s="253"/>
      <c r="G4" s="253"/>
      <c r="H4" s="253"/>
      <c r="I4" s="254"/>
      <c r="J4" s="138" t="inlineStr">
        <is>
          <r>
            <t xml:space="preserve">② car type</t>
          </r>
        </is>
      </c>
      <c r="K4" s="253"/>
      <c r="L4" s="253"/>
      <c r="M4" s="176" t="str">
        <f>구매리스트!I6</f>
        <v>0</v>
      </c>
      <c r="N4" s="254"/>
      <c r="O4" s="136" t="inlineStr">
        <is>
          <r>
            <t xml:space="preserve">③Usage</t>
          </r>
        </is>
      </c>
      <c r="P4" s="177" t="inlineStr">
        <is>
          <r>
            <t xml:space="preserve">Private car</t>
          </r>
        </is>
      </c>
      <c r="Q4" s="254"/>
      <c r="R4" s="244"/>
      <c r="S4" s="244"/>
      <c r="T4" s="244"/>
      <c r="U4" s="244"/>
      <c r="V4" s="244"/>
      <c r="W4" s="244"/>
    </row>
    <row r="5" spans="1:23" customHeight="1" ht="30" s="244" customFormat="1">
      <c r="A5" s="172" t="inlineStr">
        <is>
          <r>
            <t xml:space="preserve">④ Car Name</t>
          </r>
        </is>
      </c>
      <c r="B5" s="253"/>
      <c r="C5" s="253"/>
      <c r="D5" s="254"/>
      <c r="E5" s="151" t="str">
        <f>구매리스트!B5</f>
        <v>0</v>
      </c>
      <c r="F5" s="253"/>
      <c r="G5" s="253"/>
      <c r="H5" s="253"/>
      <c r="I5" s="254"/>
      <c r="J5" s="172" t="inlineStr">
        <is>
          <r>
            <t xml:space="preserve">⑤ Model &amp;Year</t>
          </r>
        </is>
      </c>
      <c r="K5" s="253"/>
      <c r="L5" s="254"/>
      <c r="M5" s="134" t="str">
        <f>구매리스트!G4</f>
        <v>0</v>
      </c>
      <c r="N5" s="253"/>
      <c r="O5" s="253"/>
      <c r="P5" s="255" t="str">
        <f>구매리스트!I5</f>
        <v>0</v>
      </c>
      <c r="Q5" s="254"/>
      <c r="R5" s="244"/>
      <c r="S5" s="244" t="inlineStr">
        <is>
          <r>
            <t xml:space="preserve"> </t>
          </r>
        </is>
      </c>
      <c r="T5" s="244"/>
      <c r="U5" s="244"/>
      <c r="V5" s="244"/>
      <c r="W5" s="244"/>
    </row>
    <row r="6" spans="1:23" customHeight="1" ht="30" s="244" customFormat="1">
      <c r="A6" s="172" t="inlineStr">
        <is>
          <r>
            <t xml:space="preserve">⑥ Vehicle ID No.</t>
          </r>
        </is>
      </c>
      <c r="B6" s="253"/>
      <c r="C6" s="253"/>
      <c r="D6" s="254"/>
      <c r="E6" s="151" t="str">
        <f>구매리스트!D5</f>
        <v>0</v>
      </c>
      <c r="F6" s="253"/>
      <c r="G6" s="253"/>
      <c r="H6" s="253"/>
      <c r="I6" s="254"/>
      <c r="J6" s="172" t="inlineStr">
        <is>
          <r>
            <t xml:space="preserve">⑦ Motor Type</t>
          </r>
        </is>
      </c>
      <c r="K6" s="253"/>
      <c r="L6" s="254"/>
      <c r="M6" s="151" t="str">
        <f>구매리스트!I4</f>
        <v>0</v>
      </c>
      <c r="N6" s="253"/>
      <c r="O6" s="253"/>
      <c r="P6" s="253"/>
      <c r="Q6" s="254"/>
      <c r="R6" s="244"/>
      <c r="S6" s="282" t="inlineStr">
        <is>
          <r>
            <t xml:space="preserve"> </t>
          </r>
        </is>
      </c>
      <c r="T6" s="244"/>
      <c r="U6" s="244"/>
      <c r="V6" s="244"/>
      <c r="W6" s="244"/>
    </row>
    <row r="7" spans="1:23" customHeight="1" ht="30" s="244" customFormat="1">
      <c r="A7" s="172" t="inlineStr">
        <is>
          <r>
            <t xml:space="preserve">⑧ Usage Basc</t>
          </r>
        </is>
      </c>
      <c r="B7" s="253"/>
      <c r="C7" s="253"/>
      <c r="D7" s="254"/>
      <c r="E7" s="256" t="inlineStr">
        <is>
          <r>
            <t xml:space="preserve">163 Sangidaehak-ro, Siheung-si, Gyeonggi-do, Korea </t>
          </r>
        </is>
      </c>
      <c r="F7" s="253"/>
      <c r="G7" s="253"/>
      <c r="H7" s="253"/>
      <c r="I7" s="253"/>
      <c r="J7" s="253"/>
      <c r="K7" s="253"/>
      <c r="L7" s="253"/>
      <c r="M7" s="253"/>
      <c r="N7" s="253"/>
      <c r="O7" s="253"/>
      <c r="P7" s="253"/>
      <c r="Q7" s="254"/>
      <c r="R7" s="244"/>
      <c r="S7" s="244"/>
      <c r="T7" s="244"/>
      <c r="U7" s="244"/>
      <c r="V7" s="244"/>
      <c r="W7" s="244"/>
    </row>
    <row r="8" spans="1:23" customHeight="1" ht="30" s="244" customFormat="1">
      <c r="A8" s="257" t="inlineStr">
        <is>
          <r>
            <t xml:space="preserve">Owner</t>
          </r>
        </is>
      </c>
      <c r="B8" s="254"/>
      <c r="C8" s="135" t="inlineStr">
        <is>
          <r>
            <t xml:space="preserve">⑨ Address</t>
          </r>
        </is>
      </c>
      <c r="D8" s="253"/>
      <c r="E8" s="258" t="inlineStr">
        <is>
          <r>
            <t xml:space="preserve">SSANCAR LTD,. </t>
          </r>
        </is>
      </c>
      <c r="F8" s="253"/>
      <c r="G8" s="253"/>
      <c r="H8" s="253"/>
      <c r="I8" s="254"/>
      <c r="J8" s="259" t="inlineStr">
        <is>
          <r>
            <t xml:space="preserve">      ID Card No.</t>
          </r>
        </is>
      </c>
      <c r="K8" s="253"/>
      <c r="L8" s="254"/>
      <c r="M8" s="258" t="inlineStr">
        <is>
          <r>
            <t xml:space="preserve">120111-0922270</t>
          </r>
        </is>
      </c>
      <c r="N8" s="253"/>
      <c r="O8" s="253"/>
      <c r="P8" s="253"/>
      <c r="Q8" s="254"/>
      <c r="R8" s="244" t="inlineStr">
        <is>
          <r>
            <t xml:space="preserve"> </t>
          </r>
        </is>
      </c>
      <c r="S8" s="244"/>
      <c r="T8" s="244"/>
      <c r="U8" s="244"/>
      <c r="V8" s="244"/>
      <c r="W8" s="244"/>
    </row>
    <row r="9" spans="1:23" customHeight="1" ht="6.75" s="244" customFormat="1">
      <c r="A9" s="1"/>
      <c r="B9" s="2"/>
      <c r="C9" s="2"/>
      <c r="D9" s="149"/>
      <c r="E9" s="149"/>
      <c r="F9" s="149"/>
      <c r="G9" s="149"/>
      <c r="H9" s="149"/>
      <c r="I9" s="2"/>
      <c r="J9" s="2"/>
      <c r="K9" s="2"/>
      <c r="L9" s="2"/>
      <c r="M9" s="149"/>
      <c r="N9" s="149"/>
      <c r="O9" s="2"/>
      <c r="P9" s="2"/>
      <c r="Q9" s="3"/>
      <c r="R9" s="244"/>
      <c r="S9" s="244"/>
      <c r="T9" s="244"/>
      <c r="U9" s="244"/>
      <c r="V9" s="244"/>
      <c r="W9" s="244"/>
    </row>
    <row r="10" spans="1:23" customHeight="1" ht="24.75" s="244" customFormat="1">
      <c r="A10" s="283" t="inlineStr">
        <is>
          <r>
            <t xml:space="preserve">「It is proved that it was registered as above in accordance with Article 8 of the Motor Vehicle Management Act.</t>
          </r>
        </is>
      </c>
      <c r="B10" s="244"/>
      <c r="C10" s="244"/>
      <c r="D10" s="244"/>
      <c r="E10" s="244"/>
      <c r="F10" s="244"/>
      <c r="G10" s="244"/>
      <c r="H10" s="244"/>
      <c r="I10" s="244"/>
      <c r="J10" s="244"/>
      <c r="K10" s="244"/>
      <c r="L10" s="244"/>
      <c r="M10" s="244"/>
      <c r="N10" s="244"/>
      <c r="O10" s="244"/>
      <c r="P10" s="244"/>
      <c r="Q10" s="261"/>
      <c r="R10" s="244"/>
      <c r="S10" s="244"/>
      <c r="T10" s="244"/>
      <c r="U10" s="244"/>
      <c r="V10" s="244"/>
      <c r="W10" s="244"/>
    </row>
    <row r="11" spans="1:23" customHeight="1" ht="22.5" s="244" customFormat="1">
      <c r="A11" s="1"/>
      <c r="B11" s="167" t="inlineStr">
        <is>
          <r>
            <t xml:space="preserve">※ Note: In the case of an electric vehicle or hydrogen fuel cell vehicle, the 'prime motor type' in column ⑦ refers to the 'drive motor type</t>
          </r>
        </is>
      </c>
      <c r="C11" s="244"/>
      <c r="D11" s="244"/>
      <c r="E11" s="244"/>
      <c r="F11" s="244"/>
      <c r="G11" s="244"/>
      <c r="H11" s="244"/>
      <c r="I11" s="244"/>
      <c r="J11" s="244"/>
      <c r="K11" s="244"/>
      <c r="L11" s="244"/>
      <c r="M11" s="244"/>
      <c r="N11" s="244"/>
      <c r="O11" s="244"/>
      <c r="P11" s="244"/>
      <c r="Q11" s="261"/>
      <c r="R11" s="244"/>
      <c r="S11" s="244"/>
      <c r="T11" s="244"/>
      <c r="U11" s="244"/>
      <c r="V11" s="244"/>
      <c r="W11" s="244"/>
    </row>
    <row r="12" spans="1:23" customHeight="1" ht="20.25" s="244" customFormat="1">
      <c r="A12" s="1"/>
      <c r="B12" s="2"/>
      <c r="C12" s="2"/>
      <c r="D12" s="149"/>
      <c r="E12" s="149"/>
      <c r="F12" s="149"/>
      <c r="G12" s="149"/>
      <c r="H12" s="149"/>
      <c r="I12" s="2"/>
      <c r="J12" s="2"/>
      <c r="K12" s="2"/>
      <c r="L12" s="2" t="inlineStr">
        <is>
          <r>
            <t xml:space="preserve"> </t>
          </r>
        </is>
      </c>
      <c r="M12" s="149"/>
      <c r="N12" s="149"/>
      <c r="O12" s="2"/>
      <c r="P12" s="2"/>
      <c r="Q12" s="3"/>
      <c r="R12" s="244"/>
      <c r="S12" s="244"/>
      <c r="T12" s="244"/>
      <c r="U12" s="244"/>
      <c r="V12" s="244"/>
      <c r="W12" s="244"/>
    </row>
    <row r="13" spans="1:23" customHeight="1" ht="26.25" s="244" customFormat="1">
      <c r="A13" s="4" t="inlineStr">
        <is>
          <r>
            <t xml:space="preserve"> </t>
          </r>
        </is>
      </c>
      <c r="B13" s="244" t="inlineStr">
        <is>
          <r>
            <t xml:space="preserve"> </t>
          </r>
        </is>
      </c>
      <c r="C13" s="244"/>
      <c r="D13" s="244"/>
      <c r="E13" s="244"/>
      <c r="F13" s="244"/>
      <c r="G13" s="244"/>
      <c r="H13" s="244"/>
      <c r="I13" s="244"/>
      <c r="J13" s="244" t="inlineStr">
        <is>
          <r>
            <t xml:space="preserve"> </t>
          </r>
        </is>
      </c>
      <c r="K13" s="244"/>
      <c r="L13" s="168" t="str">
        <f>구매리스트!I3</f>
        <v>0</v>
      </c>
      <c r="M13" s="244"/>
      <c r="N13" s="244"/>
      <c r="O13" s="244"/>
      <c r="P13" s="262"/>
      <c r="Q13" s="5"/>
      <c r="R13" s="244"/>
      <c r="S13" s="72"/>
      <c r="T13" s="244"/>
      <c r="U13" s="244"/>
      <c r="V13" s="244"/>
      <c r="W13" s="244"/>
    </row>
    <row r="14" spans="1:23" customHeight="1" ht="23.25" s="244" customFormat="1">
      <c r="A14" s="4"/>
      <c r="B14" s="244"/>
      <c r="C14" s="244"/>
      <c r="D14" s="244"/>
      <c r="E14" s="244"/>
      <c r="F14" s="244"/>
      <c r="G14" s="244"/>
      <c r="H14" s="244"/>
      <c r="I14" s="244"/>
      <c r="J14" s="244"/>
      <c r="K14" s="244"/>
      <c r="L14" s="244"/>
      <c r="M14" s="6"/>
      <c r="N14" s="6"/>
      <c r="O14" s="6"/>
      <c r="P14" s="6"/>
      <c r="Q14" s="5"/>
      <c r="R14" s="244"/>
      <c r="S14" s="244"/>
      <c r="T14" s="244"/>
      <c r="U14" s="244"/>
      <c r="V14" s="244"/>
      <c r="W14" s="244"/>
    </row>
    <row r="15" spans="1:23" customHeight="1" ht="39" s="244" customFormat="1">
      <c r="A15" s="4"/>
      <c r="B15" s="244"/>
      <c r="C15" s="244"/>
      <c r="D15" s="244"/>
      <c r="E15" s="244"/>
      <c r="F15" s="244"/>
      <c r="G15" s="244"/>
      <c r="H15" s="244"/>
      <c r="I15" s="244"/>
      <c r="J15" s="392" t="s">
        <v>191</v>
      </c>
      <c r="K15" s="244"/>
      <c r="L15" s="244"/>
      <c r="M15" s="244"/>
      <c r="N15" s="244"/>
      <c r="O15" s="244"/>
      <c r="P15" s="244"/>
      <c r="Q15" s="261"/>
      <c r="R15" s="244"/>
      <c r="S15" s="244"/>
      <c r="T15" s="244"/>
      <c r="U15" s="244"/>
      <c r="V15" s="244"/>
      <c r="W15" s="244" t="inlineStr">
        <is>
          <r>
            <t xml:space="preserve"> </t>
          </r>
        </is>
      </c>
    </row>
    <row r="16" spans="1:23" customHeight="1" ht="9" s="244" customFormat="1">
      <c r="A16" s="7"/>
      <c r="B16" s="8"/>
      <c r="C16" s="8"/>
      <c r="D16" s="8"/>
      <c r="E16" s="8"/>
      <c r="F16" s="8"/>
      <c r="G16" s="8"/>
      <c r="H16" s="8"/>
      <c r="I16" s="8"/>
      <c r="J16" s="8"/>
      <c r="K16" s="8"/>
      <c r="L16" s="8"/>
      <c r="M16" s="8"/>
      <c r="N16" s="8"/>
      <c r="O16" s="8"/>
      <c r="P16" s="8"/>
      <c r="Q16" s="9"/>
      <c r="R16" s="244"/>
      <c r="S16" s="244"/>
      <c r="T16" s="244"/>
      <c r="U16" s="244"/>
      <c r="V16" s="244"/>
      <c r="W16" s="244"/>
    </row>
    <row r="17" spans="1:23" customHeight="1" ht="8.25" s="244" customFormat="1">
      <c r="A17" s="4"/>
      <c r="B17" s="244" t="inlineStr">
        <is>
          <r>
            <t xml:space="preserve"> </t>
          </r>
        </is>
      </c>
      <c r="C17" s="244"/>
      <c r="D17" s="244"/>
      <c r="E17" s="244"/>
      <c r="F17" s="244"/>
      <c r="G17" s="244"/>
      <c r="H17" s="244"/>
      <c r="I17" s="263"/>
      <c r="J17" s="263"/>
      <c r="K17" s="263"/>
      <c r="L17" s="263"/>
      <c r="M17" s="263"/>
      <c r="N17" s="263"/>
      <c r="O17" s="244"/>
      <c r="P17" s="244"/>
      <c r="Q17" s="5"/>
      <c r="R17" s="244"/>
      <c r="S17" s="244"/>
      <c r="T17" s="244"/>
      <c r="U17" s="244"/>
      <c r="V17" s="244"/>
      <c r="W17" s="244"/>
    </row>
    <row r="18" spans="1:23" customHeight="1" ht="21.75" s="244" customFormat="1">
      <c r="A18" s="264" t="inlineStr">
        <is>
          <r>
            <t xml:space="preserve">1.Specifications</t>
          </r>
        </is>
      </c>
      <c r="B18" s="253"/>
      <c r="C18" s="253"/>
      <c r="D18" s="253"/>
      <c r="E18" s="253"/>
      <c r="F18" s="253"/>
      <c r="G18" s="253"/>
      <c r="H18" s="253"/>
      <c r="I18" s="253"/>
      <c r="J18" s="254"/>
      <c r="K18" s="244"/>
      <c r="L18" s="265" t="inlineStr">
        <is>
          <r>
            <t xml:space="preserve">  4. Validity period of inspection</t>
          </r>
        </is>
      </c>
      <c r="M18" s="253"/>
      <c r="N18" s="253"/>
      <c r="O18" s="253"/>
      <c r="P18" s="253"/>
      <c r="Q18" s="254"/>
      <c r="R18" s="244"/>
      <c r="S18" s="244"/>
      <c r="T18" s="244"/>
      <c r="U18" s="244"/>
      <c r="V18" s="244"/>
      <c r="W18" s="244"/>
    </row>
    <row r="19" spans="1:23" customHeight="1" ht="20.45" s="244" customFormat="1">
      <c r="A19" s="60" t="inlineStr">
        <is>
          <r>
            <t xml:space="preserve">⑪</t>
          </r>
        </is>
      </c>
      <c r="B19" s="169" t="inlineStr">
        <is>
          <r>
            <t xml:space="preserve">Specification Control Number</t>
          </r>
        </is>
      </c>
      <c r="C19" s="249"/>
      <c r="D19" s="249"/>
      <c r="E19" s="249"/>
      <c r="F19" s="266" t="str">
        <f>구매리스트!G5</f>
        <v>0</v>
      </c>
      <c r="G19" s="249"/>
      <c r="H19" s="249"/>
      <c r="I19" s="249"/>
      <c r="J19" s="250"/>
      <c r="K19" s="244"/>
      <c r="L19" s="284" t="inlineStr">
        <is>
          <r>
            <t xml:space="preserve">    Date
Boot</t>
          </r>
        </is>
      </c>
      <c r="M19" s="284" t="inlineStr">
        <is>
          <r>
            <t xml:space="preserve">    Date
Until</t>
          </r>
        </is>
      </c>
      <c r="N19" s="285" t="inlineStr">
        <is>
          <r>
            <t xml:space="preserve"> Place of
Inspection</t>
          </r>
        </is>
      </c>
      <c r="O19" s="286" t="inlineStr">
        <is>
          <r>
            <t xml:space="preserve">mileage</t>
          </r>
        </is>
      </c>
      <c r="P19" s="287" t="inlineStr">
        <is>
          <r>
            <t xml:space="preserve"> Inspect manager check</t>
          </r>
        </is>
      </c>
      <c r="Q19" s="288" t="inlineStr">
        <is>
          <r>
            <t xml:space="preserve">Prosecutor
Division</t>
          </r>
        </is>
      </c>
      <c r="R19" s="244"/>
      <c r="S19" s="244"/>
      <c r="T19" s="244"/>
      <c r="U19" s="244"/>
      <c r="V19" s="244"/>
      <c r="W19" s="244"/>
    </row>
    <row r="20" spans="1:23" customHeight="1" ht="20.45" s="244" customFormat="1">
      <c r="A20" s="58" t="inlineStr">
        <is>
          <r>
            <t xml:space="preserve"> </t>
          </r>
        </is>
      </c>
      <c r="B20" s="173" t="inlineStr">
        <is>
          <r>
            <t xml:space="preserve">(Type approval number)</t>
          </r>
        </is>
      </c>
      <c r="C20" s="251"/>
      <c r="D20" s="251"/>
      <c r="E20" s="251"/>
      <c r="F20" s="251"/>
      <c r="G20" s="251"/>
      <c r="H20" s="251"/>
      <c r="I20" s="251"/>
      <c r="J20" s="252"/>
      <c r="K20" s="244"/>
      <c r="L20" s="289"/>
      <c r="M20" s="289"/>
      <c r="N20" s="289"/>
      <c r="O20" s="289"/>
      <c r="P20" s="289"/>
      <c r="Q20" s="289"/>
      <c r="R20" s="244"/>
      <c r="S20" s="244"/>
      <c r="T20" s="244"/>
      <c r="U20" s="244"/>
      <c r="V20" s="244"/>
      <c r="W20" s="244"/>
    </row>
    <row r="21" spans="1:23" customHeight="1" ht="20.45" s="244" customFormat="1">
      <c r="A21" s="62" t="inlineStr">
        <is>
          <r>
            <t xml:space="preserve">⑫</t>
          </r>
        </is>
      </c>
      <c r="B21" s="148" t="inlineStr">
        <is>
          <r>
            <t xml:space="preserve">Length</t>
          </r>
        </is>
      </c>
      <c r="C21" s="254"/>
      <c r="D21" s="156" t="str">
        <f>구매리스트!G7</f>
        <v>0</v>
      </c>
      <c r="E21" s="253"/>
      <c r="F21" s="16" t="inlineStr">
        <is>
          <r>
            <t xml:space="preserve">mm</t>
          </r>
        </is>
      </c>
      <c r="G21" s="63" t="inlineStr">
        <is>
          <r>
            <t xml:space="preserve">⑬</t>
          </r>
        </is>
      </c>
      <c r="H21" s="55" t="inlineStr">
        <is>
          <r>
            <t xml:space="preserve">Width</t>
          </r>
        </is>
      </c>
      <c r="I21" s="120" t="str">
        <f>구매리스트!I7</f>
        <v>0</v>
      </c>
      <c r="J21" s="16" t="inlineStr">
        <is>
          <r>
            <t xml:space="preserve">mm</t>
          </r>
        </is>
      </c>
      <c r="K21" s="244"/>
      <c r="L21" s="121" t="str">
        <f>구매리스트!I10</f>
        <v>0</v>
      </c>
      <c r="M21" s="121" t="str">
        <f>구매리스트!I11</f>
        <v>0</v>
      </c>
      <c r="N21" s="12"/>
      <c r="O21" s="122" t="str">
        <f>구매리스트!I12</f>
        <v>0</v>
      </c>
      <c r="P21" s="13"/>
      <c r="Q21" s="13"/>
      <c r="R21" s="244" t="inlineStr">
        <is>
          <r>
            <t xml:space="preserve"> </t>
          </r>
        </is>
      </c>
      <c r="S21" s="244"/>
      <c r="T21" s="244"/>
      <c r="U21" s="244"/>
      <c r="V21" s="244"/>
      <c r="W21" s="244"/>
    </row>
    <row r="22" spans="1:23" customHeight="1" ht="20.45" s="244" customFormat="1">
      <c r="A22" s="63" t="inlineStr">
        <is>
          <r>
            <t xml:space="preserve">⑭</t>
          </r>
        </is>
      </c>
      <c r="B22" s="148" t="inlineStr">
        <is>
          <r>
            <t xml:space="preserve">Height</t>
          </r>
        </is>
      </c>
      <c r="C22" s="254"/>
      <c r="D22" s="141" t="str">
        <f>구매리스트!G8</f>
        <v>0</v>
      </c>
      <c r="E22" s="253"/>
      <c r="F22" s="16" t="inlineStr">
        <is>
          <r>
            <t xml:space="preserve">mm</t>
          </r>
        </is>
      </c>
      <c r="G22" s="67" t="inlineStr">
        <is>
          <r>
            <t xml:space="preserve">⑮</t>
          </r>
        </is>
      </c>
      <c r="H22" s="55" t="inlineStr">
        <is>
          <r>
            <t xml:space="preserve">Weight</t>
          </r>
        </is>
      </c>
      <c r="I22" s="120" t="str">
        <f>구매리스트!I8</f>
        <v>0</v>
      </c>
      <c r="J22" s="16" t="inlineStr">
        <is>
          <r>
            <t xml:space="preserve">kg</t>
          </r>
        </is>
      </c>
      <c r="K22" s="244"/>
      <c r="L22" s="14"/>
      <c r="M22" s="14"/>
      <c r="N22" s="14"/>
      <c r="O22" s="14"/>
      <c r="P22" s="14"/>
      <c r="Q22" s="14"/>
      <c r="R22" s="244"/>
      <c r="S22" s="244" t="inlineStr">
        <is>
          <r>
            <t xml:space="preserve"> </t>
          </r>
        </is>
      </c>
      <c r="T22" s="244"/>
      <c r="U22" s="244"/>
      <c r="V22" s="244"/>
      <c r="W22" s="244"/>
    </row>
    <row r="23" spans="1:23" customHeight="1" ht="20.45" s="244" customFormat="1">
      <c r="A23" s="63" t="inlineStr">
        <is>
          <r>
            <t xml:space="preserve">⑯</t>
          </r>
        </is>
      </c>
      <c r="B23" s="157" t="inlineStr">
        <is>
          <r>
            <t xml:space="preserve">Passenger Capacity</t>
          </r>
        </is>
      </c>
      <c r="C23" s="254"/>
      <c r="D23" s="141" t="str">
        <f>구매리스트!G9</f>
        <v>0</v>
      </c>
      <c r="E23" s="253"/>
      <c r="F23" s="73" t="inlineStr">
        <is>
          <r>
            <t xml:space="preserve">Person</t>
          </r>
        </is>
      </c>
      <c r="G23" s="61" t="inlineStr">
        <is>
          <r>
            <t xml:space="preserve">⑰</t>
          </r>
        </is>
      </c>
      <c r="H23" s="56" t="inlineStr">
        <is>
          <r>
            <t xml:space="preserve">Maximum load</t>
          </r>
        </is>
      </c>
      <c r="I23" s="11" t="str">
        <f>구매리스트!I9</f>
        <v>0</v>
      </c>
      <c r="J23" s="16" t="inlineStr">
        <is>
          <r>
            <t xml:space="preserve">kg</t>
          </r>
        </is>
      </c>
      <c r="K23" s="244"/>
      <c r="L23" s="14"/>
      <c r="M23" s="14"/>
      <c r="N23" s="14"/>
      <c r="O23" s="14"/>
      <c r="P23" s="14"/>
      <c r="Q23" s="14"/>
      <c r="R23" s="244"/>
      <c r="S23" s="244"/>
      <c r="T23" s="244"/>
      <c r="U23" s="244"/>
      <c r="V23" s="244"/>
      <c r="W23" s="244"/>
    </row>
    <row r="24" spans="1:23" customHeight="1" ht="20.45" s="244" customFormat="1">
      <c r="A24" s="267" t="inlineStr">
        <is>
          <r>
            <t xml:space="preserve">⑱</t>
          </r>
        </is>
      </c>
      <c r="B24" s="170" t="inlineStr">
        <is>
          <r>
            <t xml:space="preserve">Displacement or</t>
          </r>
        </is>
      </c>
      <c r="C24" s="250"/>
      <c r="D24" s="268" t="str">
        <f>구매리스트!G10</f>
        <v>0</v>
      </c>
      <c r="E24" s="249"/>
      <c r="F24" s="249"/>
      <c r="G24" s="249"/>
      <c r="H24" s="249"/>
      <c r="I24" s="269" t="inlineStr">
        <is>
          <r>
            <t xml:space="preserve">cc,(Ah ,[Ah]</t>
          </r>
        </is>
      </c>
      <c r="J24" s="250"/>
      <c r="K24" s="244"/>
      <c r="L24" s="14"/>
      <c r="M24" s="14"/>
      <c r="N24" s="14"/>
      <c r="O24" s="14"/>
      <c r="P24" s="14"/>
      <c r="Q24" s="14"/>
      <c r="R24" s="244"/>
      <c r="S24" s="244" t="inlineStr">
        <is>
          <r>
            <t xml:space="preserve"> </t>
          </r>
        </is>
      </c>
      <c r="T24" s="244"/>
      <c r="U24" s="244"/>
      <c r="V24" s="244"/>
      <c r="W24" s="244"/>
    </row>
    <row r="25" spans="1:23" customHeight="1" ht="20.45" s="244" customFormat="1">
      <c r="A25" s="270"/>
      <c r="B25" s="290" t="inlineStr">
        <is>
          <r>
            <t xml:space="preserve">Drive battery 
capacity</t>
          </r>
        </is>
      </c>
      <c r="C25" s="261"/>
      <c r="D25" s="270"/>
      <c r="E25" s="244"/>
      <c r="F25" s="244"/>
      <c r="G25" s="244"/>
      <c r="H25" s="244"/>
      <c r="I25" s="244"/>
      <c r="J25" s="261"/>
      <c r="K25" s="244"/>
      <c r="L25" s="15"/>
      <c r="M25" s="15"/>
      <c r="N25" s="15"/>
      <c r="O25" s="15"/>
      <c r="P25" s="15"/>
      <c r="Q25" s="15"/>
      <c r="R25" s="244"/>
      <c r="S25" s="244"/>
      <c r="T25" s="244"/>
      <c r="U25" s="244"/>
      <c r="V25" s="244"/>
      <c r="W25" s="244"/>
    </row>
    <row r="26" spans="1:23" customHeight="1" ht="20.45" s="244" customFormat="1">
      <c r="A26" s="271"/>
      <c r="B26" s="251"/>
      <c r="C26" s="252"/>
      <c r="D26" s="271"/>
      <c r="E26" s="251"/>
      <c r="F26" s="251"/>
      <c r="G26" s="251"/>
      <c r="H26" s="251"/>
      <c r="I26" s="251"/>
      <c r="J26" s="252"/>
      <c r="K26" s="244"/>
      <c r="L26" s="68"/>
      <c r="M26" s="68"/>
      <c r="N26" s="68"/>
      <c r="O26" s="68"/>
      <c r="P26" s="68"/>
      <c r="Q26" s="68"/>
      <c r="R26" s="244"/>
      <c r="S26" s="244" t="inlineStr">
        <is>
          <r>
            <t xml:space="preserve"> </t>
          </r>
        </is>
      </c>
      <c r="T26" s="244"/>
      <c r="U26" s="244"/>
      <c r="V26" s="244"/>
      <c r="W26" s="244"/>
    </row>
    <row r="27" spans="1:23" customHeight="1" ht="20.45" s="244" customFormat="1">
      <c r="A27" s="63" t="inlineStr">
        <is>
          <r>
            <t xml:space="preserve">⑲</t>
          </r>
        </is>
      </c>
      <c r="B27" s="148" t="inlineStr">
        <is>
          <r>
            <t xml:space="preserve">Rated Output</t>
          </r>
        </is>
      </c>
      <c r="C27" s="254"/>
      <c r="D27" s="141" t="str">
        <f>구매리스트!G11</f>
        <v>0</v>
      </c>
      <c r="E27" s="253"/>
      <c r="F27" s="253"/>
      <c r="G27" s="253"/>
      <c r="H27" s="140" t="inlineStr">
        <is>
          <r>
            <t xml:space="preserve">Ps/rpm,(kW/rpm),[kW/rpm]</t>
          </r>
        </is>
      </c>
      <c r="I27" s="253"/>
      <c r="J27" s="254"/>
      <c r="K27" s="244"/>
      <c r="L27" s="14"/>
      <c r="M27" s="14"/>
      <c r="N27" s="14"/>
      <c r="O27" s="14"/>
      <c r="P27" s="14"/>
      <c r="Q27" s="14"/>
      <c r="R27" s="244"/>
      <c r="S27" s="244"/>
      <c r="T27" s="244"/>
      <c r="U27" s="244"/>
      <c r="V27" s="244"/>
      <c r="W27" s="244"/>
    </row>
    <row r="28" spans="1:23" customHeight="1" ht="20.45" s="244" customFormat="1">
      <c r="A28" s="64" t="inlineStr">
        <is>
          <r>
            <t xml:space="preserve">⑳</t>
          </r>
        </is>
      </c>
      <c r="B28" s="171" t="inlineStr">
        <is>
          <r>
            <t xml:space="preserve">Number of Cylinders</t>
          </r>
        </is>
      </c>
      <c r="C28" s="250"/>
      <c r="D28" s="272" t="str">
        <f>구매리스트!G12</f>
        <v>0</v>
      </c>
      <c r="E28" s="249"/>
      <c r="F28" s="249"/>
      <c r="G28" s="249"/>
      <c r="H28" s="249"/>
      <c r="I28" s="139" t="inlineStr">
        <is>
          <r>
            <t xml:space="preserve">Cylinders,
(V),[kW]</t>
          </r>
        </is>
      </c>
      <c r="J28" s="250"/>
      <c r="K28" s="244"/>
      <c r="L28" s="14"/>
      <c r="M28" s="14"/>
      <c r="N28" s="14"/>
      <c r="O28" s="14"/>
      <c r="P28" s="14"/>
      <c r="Q28" s="14"/>
      <c r="R28" s="244"/>
      <c r="S28" s="244"/>
      <c r="T28" s="244"/>
      <c r="U28" s="244"/>
      <c r="V28" s="244"/>
      <c r="W28" s="244"/>
    </row>
    <row r="29" spans="1:23" customHeight="1" ht="20.45" s="244" customFormat="1">
      <c r="A29" s="291" t="inlineStr">
        <is>
          <r>
            <t xml:space="preserve">(Drive Storage Voltage)</t>
          </r>
        </is>
      </c>
      <c r="B29" s="244"/>
      <c r="C29" s="261"/>
      <c r="D29" s="270"/>
      <c r="E29" s="244"/>
      <c r="F29" s="244"/>
      <c r="G29" s="244"/>
      <c r="H29" s="244"/>
      <c r="I29" s="244"/>
      <c r="J29" s="261"/>
      <c r="K29" s="244"/>
      <c r="L29" s="14"/>
      <c r="M29" s="14"/>
      <c r="N29" s="14"/>
      <c r="O29" s="14"/>
      <c r="P29" s="14"/>
      <c r="Q29" s="14"/>
      <c r="R29" s="244"/>
      <c r="S29" s="244"/>
      <c r="T29" s="244"/>
      <c r="U29" s="244"/>
      <c r="V29" s="244"/>
      <c r="W29" s="244"/>
    </row>
    <row r="30" spans="1:23" customHeight="1" ht="20.45" s="244" customFormat="1">
      <c r="A30" s="292" t="inlineStr">
        <is>
          <r>
            <t xml:space="preserve">[Maximum Fuel Cell Output]</t>
          </r>
        </is>
      </c>
      <c r="B30" s="251"/>
      <c r="C30" s="252"/>
      <c r="D30" s="271"/>
      <c r="E30" s="251"/>
      <c r="F30" s="251"/>
      <c r="G30" s="251"/>
      <c r="H30" s="251"/>
      <c r="I30" s="251"/>
      <c r="J30" s="252"/>
      <c r="K30" s="244"/>
      <c r="L30" s="15"/>
      <c r="M30" s="15"/>
      <c r="N30" s="15"/>
      <c r="O30" s="15"/>
      <c r="P30" s="15"/>
      <c r="Q30" s="15"/>
      <c r="R30" s="244"/>
      <c r="S30" s="244"/>
      <c r="T30" s="244"/>
      <c r="U30" s="244"/>
      <c r="V30" s="244"/>
      <c r="W30" s="244"/>
    </row>
    <row r="31" spans="1:23" customHeight="1" ht="20.45" s="244" customFormat="1">
      <c r="A31" s="65" t="inlineStr">
        <is>
          <r>
            <t xml:space="preserve">㉑ </t>
          </r>
        </is>
      </c>
      <c r="B31" s="293" t="inlineStr">
        <is>
          <r>
            <t xml:space="preserve">Type of fuel and fuel 
consumption rate</t>
          </r>
        </is>
      </c>
      <c r="C31" s="254"/>
      <c r="D31" s="146" t="str">
        <f>구매리스트!I13</f>
        <v>0</v>
      </c>
      <c r="E31" s="253"/>
      <c r="F31" s="145" t="str">
        <f>구매리스트!H13</f>
        <v>0</v>
      </c>
      <c r="G31" s="253"/>
      <c r="H31" s="160" t="inlineStr">
        <is>
          <r>
            <t xml:space="preserve">km/l,(km/kWh),[km/kg]</t>
          </r>
        </is>
      </c>
      <c r="I31" s="253"/>
      <c r="J31" s="254"/>
      <c r="K31" s="244"/>
      <c r="L31" s="14"/>
      <c r="M31" s="14"/>
      <c r="N31" s="14"/>
      <c r="O31" s="14"/>
      <c r="P31" s="14"/>
      <c r="Q31" s="14"/>
      <c r="R31" s="244"/>
      <c r="S31" s="244"/>
      <c r="T31" s="244"/>
      <c r="U31" s="244"/>
      <c r="V31" s="244"/>
      <c r="W31" s="244"/>
    </row>
    <row r="32" spans="1:23" customHeight="1" ht="20.45" s="244" customFormat="1">
      <c r="A32" s="66" t="inlineStr">
        <is>
          <r>
            <t xml:space="preserve">㉒ </t>
          </r>
        </is>
      </c>
      <c r="B32" s="293" t="inlineStr">
        <is>
          <r>
            <t xml:space="preserve">Manufacturer of 
drive battery cells</t>
          </r>
        </is>
      </c>
      <c r="C32" s="254"/>
      <c r="D32" s="275" t="inlineStr">
        <is>
          <r>
            <t xml:space="preserve"> </t>
          </r>
        </is>
      </c>
      <c r="E32" s="253"/>
      <c r="F32" s="254"/>
      <c r="G32" s="59" t="inlineStr">
        <is>
          <r>
            <t xml:space="preserve">㉓</t>
          </r>
        </is>
      </c>
      <c r="H32" s="57" t="inlineStr">
        <is>
          <r>
            <t xml:space="preserve">Shape of drive battery cell</t>
          </r>
        </is>
      </c>
      <c r="I32" s="275" t="inlineStr">
        <is>
          <r>
            <t xml:space="preserve"> </t>
          </r>
        </is>
      </c>
      <c r="J32" s="254"/>
      <c r="K32" s="244"/>
      <c r="L32" s="14"/>
      <c r="M32" s="14"/>
      <c r="N32" s="14"/>
      <c r="O32" s="14"/>
      <c r="P32" s="14"/>
      <c r="Q32" s="14"/>
      <c r="R32" s="244"/>
      <c r="S32" s="244"/>
      <c r="T32" s="244"/>
      <c r="U32" s="244"/>
      <c r="V32" s="244"/>
      <c r="W32" s="244"/>
    </row>
    <row r="33" spans="1:23" customHeight="1" ht="20.45" s="244" customFormat="1">
      <c r="A33" s="66" t="inlineStr">
        <is>
          <r>
            <t xml:space="preserve">㉔ </t>
          </r>
        </is>
      </c>
      <c r="B33" s="294" t="inlineStr">
        <is>
          <r>
            <t xml:space="preserve">Main raw materials of 
drive storage battery cells</t>
          </r>
        </is>
      </c>
      <c r="C33" s="254"/>
      <c r="D33" s="275" t="inlineStr">
        <is>
          <r>
            <t xml:space="preserve"> </t>
          </r>
        </is>
      </c>
      <c r="E33" s="253"/>
      <c r="F33" s="254"/>
      <c r="G33" s="136" t="inlineStr">
        <is>
          <r>
            <t xml:space="preserve"> </t>
          </r>
        </is>
      </c>
      <c r="H33" s="254"/>
      <c r="I33" s="275" t="inlineStr">
        <is>
          <r>
            <t xml:space="preserve"> </t>
          </r>
        </is>
      </c>
      <c r="J33" s="254"/>
      <c r="K33" s="244"/>
      <c r="L33" s="14"/>
      <c r="M33" s="14"/>
      <c r="N33" s="14"/>
      <c r="O33" s="14"/>
      <c r="P33" s="14"/>
      <c r="Q33" s="14"/>
      <c r="R33" s="244"/>
      <c r="S33" s="244"/>
      <c r="T33" s="244"/>
      <c r="U33" s="244"/>
      <c r="V33" s="244"/>
      <c r="W33" s="244"/>
    </row>
    <row r="34" spans="1:23" customHeight="1" ht="20.45" s="244" customFormat="1">
      <c r="A34" s="276" t="inlineStr">
        <is>
          <r>
            <t xml:space="preserve">Note: In (18)~(21), the unit used refers to () in the case of an electric vehicle and [] in the case of a hydrogen fuel electric vehicle. In the case of special vehicles in Schedule 1 2 of the Enforcement Regulations of the Motor Vehicle Management Act, the maximum load refers to the maximum vertical load allowed to connect the towed vehicle and is not related to the towing capacity, (22)~(24) applies only to vehicles equipped with drive storage batteries (excluding vehicles with structures that cannot be charged through an external electricity source).</t>
          </r>
        </is>
      </c>
      <c r="B34" s="249"/>
      <c r="C34" s="249"/>
      <c r="D34" s="249"/>
      <c r="E34" s="249"/>
      <c r="F34" s="249"/>
      <c r="G34" s="249"/>
      <c r="H34" s="249"/>
      <c r="I34" s="249"/>
      <c r="J34" s="250"/>
      <c r="K34" s="244"/>
      <c r="L34" s="14"/>
      <c r="M34" s="14"/>
      <c r="N34" s="14"/>
      <c r="O34" s="14"/>
      <c r="P34" s="14"/>
      <c r="Q34" s="14"/>
      <c r="R34" s="244"/>
      <c r="S34" s="244"/>
      <c r="T34" s="244"/>
      <c r="U34" s="244"/>
      <c r="V34" s="244"/>
      <c r="W34" s="244"/>
    </row>
    <row r="35" spans="1:23" customHeight="1" ht="20.45" s="244" customFormat="1">
      <c r="A35" s="270"/>
      <c r="B35" s="244"/>
      <c r="C35" s="244"/>
      <c r="D35" s="244"/>
      <c r="E35" s="244"/>
      <c r="F35" s="244"/>
      <c r="G35" s="244"/>
      <c r="H35" s="244"/>
      <c r="I35" s="244"/>
      <c r="J35" s="261"/>
      <c r="K35" s="244"/>
      <c r="L35" s="14"/>
      <c r="M35" s="14"/>
      <c r="N35" s="14"/>
      <c r="O35" s="14"/>
      <c r="P35" s="14"/>
      <c r="Q35" s="14"/>
      <c r="R35" s="244"/>
      <c r="S35" s="244"/>
      <c r="T35" s="244"/>
      <c r="U35" s="244"/>
      <c r="V35" s="244"/>
      <c r="W35" s="244"/>
    </row>
    <row r="36" spans="1:23" customHeight="1" ht="20.45" s="244" customFormat="1">
      <c r="A36" s="270"/>
      <c r="B36" s="244"/>
      <c r="C36" s="244"/>
      <c r="D36" s="244"/>
      <c r="E36" s="244"/>
      <c r="F36" s="244"/>
      <c r="G36" s="244"/>
      <c r="H36" s="244"/>
      <c r="I36" s="244"/>
      <c r="J36" s="261"/>
      <c r="K36" s="244"/>
      <c r="L36" s="14"/>
      <c r="M36" s="14"/>
      <c r="N36" s="14"/>
      <c r="O36" s="14"/>
      <c r="P36" s="14"/>
      <c r="Q36" s="14"/>
      <c r="R36" s="244"/>
      <c r="S36" s="244"/>
      <c r="T36" s="244"/>
      <c r="U36" s="244"/>
      <c r="V36" s="244"/>
      <c r="W36" s="244"/>
    </row>
    <row r="37" spans="1:23" customHeight="1" ht="20.45" s="244" customFormat="1">
      <c r="A37" s="271"/>
      <c r="B37" s="251"/>
      <c r="C37" s="251"/>
      <c r="D37" s="251"/>
      <c r="E37" s="251"/>
      <c r="F37" s="251"/>
      <c r="G37" s="251"/>
      <c r="H37" s="251"/>
      <c r="I37" s="251"/>
      <c r="J37" s="252"/>
      <c r="K37" s="244"/>
      <c r="L37" s="15"/>
      <c r="M37" s="15"/>
      <c r="N37" s="15"/>
      <c r="O37" s="15"/>
      <c r="P37" s="15"/>
      <c r="Q37" s="15"/>
      <c r="R37" s="244"/>
      <c r="S37" s="244"/>
      <c r="T37" s="244"/>
      <c r="U37" s="244"/>
      <c r="V37" s="244"/>
      <c r="W37" s="244"/>
    </row>
    <row r="38" spans="1:23" customHeight="1" ht="25.5" s="244" customFormat="1">
      <c r="A38" s="172" t="inlineStr">
        <is>
          <r>
            <t xml:space="preserve">2.Registration plate issued and sealed</t>
          </r>
        </is>
      </c>
      <c r="B38" s="253"/>
      <c r="C38" s="253"/>
      <c r="D38" s="253"/>
      <c r="E38" s="253"/>
      <c r="F38" s="253"/>
      <c r="G38" s="253"/>
      <c r="H38" s="253"/>
      <c r="I38" s="253"/>
      <c r="J38" s="254"/>
      <c r="K38" s="244"/>
      <c r="L38" s="295" t="inlineStr">
        <is>
          <r>
            <t xml:space="preserve">※ Note: In the first column of paragraph ㉚, write the date of new registration.</t>
          </r>
        </is>
      </c>
      <c r="M38" s="249"/>
      <c r="N38" s="249"/>
      <c r="O38" s="249"/>
      <c r="P38" s="249"/>
      <c r="Q38" s="250"/>
      <c r="R38" s="244"/>
      <c r="S38" s="244"/>
      <c r="T38" s="244"/>
      <c r="U38" s="244"/>
      <c r="V38" s="244"/>
      <c r="W38" s="244"/>
    </row>
    <row r="39" spans="1:23" customHeight="1" ht="25.5" s="244" customFormat="1">
      <c r="A39" s="278" t="inlineStr">
        <is>
          <r>
            <t xml:space="preserve">㉕ Classification</t>
          </r>
        </is>
      </c>
      <c r="B39" s="253"/>
      <c r="C39" s="254"/>
      <c r="D39" s="296" t="inlineStr">
        <is>
          <r>
            <t xml:space="preserve"> ㉖ License plate 
     issuance date</t>
          </r>
        </is>
      </c>
      <c r="E39" s="253"/>
      <c r="F39" s="253"/>
      <c r="G39" s="254"/>
      <c r="H39" s="297" t="inlineStr">
        <is>
          <r>
            <t xml:space="preserve">㉗ Confirmation of issuing agent</t>
          </r>
        </is>
      </c>
      <c r="I39" s="253"/>
      <c r="J39" s="254"/>
      <c r="K39" s="244"/>
      <c r="L39" s="298" t="inlineStr">
        <is>
          <r>
            <t xml:space="preserve"> REMARKS</t>
          </r>
        </is>
      </c>
      <c r="M39" s="249"/>
      <c r="N39" s="249"/>
      <c r="O39" s="249"/>
      <c r="P39" s="249"/>
      <c r="Q39" s="250"/>
      <c r="R39" s="244"/>
      <c r="S39" s="244"/>
      <c r="T39" s="244"/>
      <c r="U39" s="244"/>
      <c r="V39" s="244"/>
      <c r="W39" s="244"/>
    </row>
    <row r="40" spans="1:23" customHeight="1" ht="19.5" s="244" customFormat="1">
      <c r="A40" s="136" t="inlineStr">
        <is>
          <r>
            <t xml:space="preserve"> </t>
          </r>
        </is>
      </c>
      <c r="B40" s="254"/>
      <c r="C40" s="136" t="inlineStr">
        <is>
          <r>
            <t xml:space="preserve"> </t>
          </r>
        </is>
      </c>
      <c r="D40" s="253"/>
      <c r="E40" s="254"/>
      <c r="F40" s="136" t="inlineStr">
        <is>
          <r>
            <t xml:space="preserve"> </t>
          </r>
        </is>
      </c>
      <c r="G40" s="254"/>
      <c r="H40" s="136" t="inlineStr">
        <is>
          <r>
            <t xml:space="preserve"> </t>
          </r>
        </is>
      </c>
      <c r="I40" s="253"/>
      <c r="J40" s="254"/>
      <c r="K40" s="244"/>
      <c r="L40" s="4"/>
      <c r="M40" s="244"/>
      <c r="N40" s="244"/>
      <c r="O40" s="244"/>
      <c r="P40" s="244"/>
      <c r="Q40" s="5"/>
      <c r="R40" s="244"/>
      <c r="S40" s="244"/>
      <c r="T40" s="244"/>
      <c r="U40" s="244"/>
      <c r="V40" s="244"/>
      <c r="W40" s="244"/>
    </row>
    <row r="41" spans="1:23" customHeight="1" ht="19.5" s="244" customFormat="1">
      <c r="A41" s="136" t="inlineStr">
        <is>
          <r>
            <t xml:space="preserve"> </t>
          </r>
        </is>
      </c>
      <c r="B41" s="254"/>
      <c r="C41" s="136" t="inlineStr">
        <is>
          <r>
            <t xml:space="preserve"> </t>
          </r>
        </is>
      </c>
      <c r="D41" s="253"/>
      <c r="E41" s="254"/>
      <c r="F41" s="136" t="inlineStr">
        <is>
          <r>
            <t xml:space="preserve"> </t>
          </r>
        </is>
      </c>
      <c r="G41" s="254"/>
      <c r="H41" s="136" t="inlineStr">
        <is>
          <r>
            <t xml:space="preserve"> </t>
          </r>
        </is>
      </c>
      <c r="I41" s="253"/>
      <c r="J41" s="254"/>
      <c r="K41" s="244"/>
      <c r="L41" s="4"/>
      <c r="M41" s="244"/>
      <c r="N41" s="244"/>
      <c r="O41" s="244" t="inlineStr">
        <is>
          <r>
            <t xml:space="preserve"> </t>
          </r>
        </is>
      </c>
      <c r="P41" s="244"/>
      <c r="Q41" s="5"/>
      <c r="R41" s="244"/>
      <c r="S41" s="244"/>
      <c r="T41" s="244"/>
      <c r="U41" s="244"/>
      <c r="V41" s="244"/>
      <c r="W41" s="244"/>
    </row>
    <row r="42" spans="1:23" customHeight="1" ht="33" s="244" customFormat="1">
      <c r="A42" s="296" t="inlineStr">
        <is>
          <r>
            <t xml:space="preserve">3. Fact of mortgage registration (The contents of the mortgage registration are in the motor vehicle registration ledgerPlease perusal and confirm)</t>
          </r>
        </is>
      </c>
      <c r="B42" s="253"/>
      <c r="C42" s="253"/>
      <c r="D42" s="253"/>
      <c r="E42" s="253"/>
      <c r="F42" s="253"/>
      <c r="G42" s="253"/>
      <c r="H42" s="253"/>
      <c r="I42" s="253"/>
      <c r="J42" s="254"/>
      <c r="K42" s="244"/>
      <c r="L42" s="4"/>
      <c r="M42" s="244"/>
      <c r="N42" s="244"/>
      <c r="O42" s="244"/>
      <c r="P42" s="244"/>
      <c r="Q42" s="5"/>
      <c r="R42" s="244"/>
      <c r="S42" s="244"/>
      <c r="T42" s="244"/>
      <c r="U42" s="244"/>
      <c r="V42" s="244"/>
      <c r="W42" s="244"/>
    </row>
    <row r="43" spans="1:23" customHeight="1" ht="22.5" s="244" customFormat="1">
      <c r="A43" s="299" t="inlineStr">
        <is>
          <r>
            <t xml:space="preserve">㉘ Classification (setting or erasure)</t>
          </r>
        </is>
      </c>
      <c r="B43" s="253"/>
      <c r="C43" s="253"/>
      <c r="D43" s="253"/>
      <c r="E43" s="253"/>
      <c r="F43" s="253"/>
      <c r="G43" s="254"/>
      <c r="H43" s="161" t="inlineStr">
        <is>
          <r>
            <t xml:space="preserve">㉙ Date</t>
          </r>
        </is>
      </c>
      <c r="I43" s="253"/>
      <c r="J43" s="254"/>
      <c r="K43" s="244"/>
      <c r="L43" s="4"/>
      <c r="M43" s="244"/>
      <c r="N43" s="244"/>
      <c r="O43" s="244"/>
      <c r="P43" s="244"/>
      <c r="Q43" s="5"/>
      <c r="R43" s="244"/>
      <c r="S43" s="244"/>
      <c r="T43" s="244"/>
      <c r="U43" s="244"/>
      <c r="V43" s="244"/>
      <c r="W43" s="244"/>
    </row>
    <row r="44" spans="1:23" customHeight="1" ht="19.5" s="244" customFormat="1">
      <c r="A44" s="136" t="inlineStr">
        <is>
          <r>
            <t xml:space="preserve"> </t>
          </r>
        </is>
      </c>
      <c r="B44" s="253"/>
      <c r="C44" s="253"/>
      <c r="D44" s="253"/>
      <c r="E44" s="253"/>
      <c r="F44" s="253"/>
      <c r="G44" s="254"/>
      <c r="H44" s="136" t="inlineStr">
        <is>
          <r>
            <t xml:space="preserve"> </t>
          </r>
        </is>
      </c>
      <c r="I44" s="253"/>
      <c r="J44" s="254"/>
      <c r="K44" s="244"/>
      <c r="L44" s="4"/>
      <c r="M44" s="244"/>
      <c r="N44" s="244"/>
      <c r="O44" s="244"/>
      <c r="P44" s="244"/>
      <c r="Q44" s="5"/>
      <c r="R44" s="244"/>
      <c r="S44" s="244"/>
      <c r="T44" s="244"/>
      <c r="U44" s="244"/>
      <c r="V44" s="244"/>
      <c r="W44" s="244"/>
    </row>
    <row r="45" spans="1:23" customHeight="1" ht="19.5" s="244" customFormat="1">
      <c r="A45" s="136" t="inlineStr">
        <is>
          <r>
            <t xml:space="preserve"> </t>
          </r>
        </is>
      </c>
      <c r="B45" s="253"/>
      <c r="C45" s="253"/>
      <c r="D45" s="253"/>
      <c r="E45" s="253"/>
      <c r="F45" s="253"/>
      <c r="G45" s="254"/>
      <c r="H45" s="136" t="inlineStr">
        <is>
          <r>
            <t xml:space="preserve"> </t>
          </r>
        </is>
      </c>
      <c r="I45" s="253"/>
      <c r="J45" s="254"/>
      <c r="K45" s="8"/>
      <c r="L45" s="7"/>
      <c r="M45" s="8"/>
      <c r="N45" s="8"/>
      <c r="O45" s="8"/>
      <c r="P45" s="8"/>
      <c r="Q45" s="9"/>
      <c r="R45" s="244"/>
      <c r="S45" s="244"/>
      <c r="T45" s="244"/>
      <c r="U45" s="244"/>
      <c r="V45" s="244"/>
      <c r="W45" s="244"/>
    </row>
    <row r="46" spans="1:23" customHeight="1" ht="6" s="244" customFormat="1">
      <c r="A46" s="244"/>
      <c r="B46" s="244"/>
      <c r="C46" s="244"/>
      <c r="D46" s="244"/>
      <c r="E46" s="244"/>
      <c r="F46" s="244"/>
      <c r="G46" s="244"/>
      <c r="H46" s="244"/>
      <c r="I46" s="244"/>
      <c r="J46" s="244"/>
      <c r="K46" s="244"/>
      <c r="L46" s="244"/>
      <c r="M46" s="244"/>
      <c r="N46" s="244"/>
      <c r="O46" s="244"/>
      <c r="P46" s="244"/>
      <c r="Q46" s="244"/>
      <c r="R46" s="244"/>
      <c r="S46" s="244"/>
      <c r="T46" s="244"/>
      <c r="U46" s="244"/>
      <c r="V46" s="244"/>
      <c r="W46" s="244"/>
    </row>
    <row r="47" spans="1:23" customHeight="1" ht="23.25" s="244" customFormat="1">
      <c r="A47" s="244"/>
      <c r="B47" s="244"/>
      <c r="C47" s="244"/>
      <c r="D47" s="244"/>
      <c r="E47" s="244"/>
      <c r="F47" s="244"/>
      <c r="G47" s="162" t="inlineStr">
        <is>
          <r>
            <t xml:space="preserve">※ Please read the 'Notes' on the back.</t>
          </r>
        </is>
      </c>
      <c r="H47" s="244"/>
      <c r="I47" s="244"/>
      <c r="J47" s="244"/>
      <c r="K47" s="244"/>
      <c r="L47" s="244"/>
      <c r="M47" s="244"/>
      <c r="N47" s="163" t="inlineStr">
        <is>
          <r>
            <t xml:space="preserve">210mm x 297mm [white or heavy paper 80g/㎡]</t>
          </r>
        </is>
      </c>
      <c r="O47" s="244"/>
      <c r="P47" s="244"/>
      <c r="Q47" s="244"/>
      <c r="R47" s="244"/>
      <c r="S47" s="244"/>
      <c r="T47" s="244"/>
      <c r="U47" s="244"/>
      <c r="V47" s="244"/>
      <c r="W47" s="244"/>
    </row>
  </sheetData>
  <mergeCells>
    <mergeCell ref="A5:D5"/>
    <mergeCell ref="L18:Q18"/>
    <mergeCell ref="C40:E40"/>
    <mergeCell ref="B22:C22"/>
    <mergeCell ref="E5:I5"/>
    <mergeCell ref="D22:E22"/>
    <mergeCell ref="B31:C31"/>
    <mergeCell ref="D31:E31"/>
    <mergeCell ref="B21:C21"/>
    <mergeCell ref="E4:I4"/>
    <mergeCell ref="A41:B41"/>
    <mergeCell ref="J15:Q15"/>
    <mergeCell ref="A24:A26"/>
    <mergeCell ref="F19:J20"/>
    <mergeCell ref="A45:G45"/>
    <mergeCell ref="I24:J26"/>
    <mergeCell ref="A7:D7"/>
    <mergeCell ref="B11:Q11"/>
    <mergeCell ref="O19:O20"/>
    <mergeCell ref="B24:C24"/>
    <mergeCell ref="J3:N3"/>
    <mergeCell ref="B33:C33"/>
    <mergeCell ref="H44:J44"/>
    <mergeCell ref="M5:O5"/>
    <mergeCell ref="H31:J31"/>
    <mergeCell ref="A34:J37"/>
    <mergeCell ref="B32:C32"/>
    <mergeCell ref="H40:J40"/>
    <mergeCell ref="A38:J38"/>
    <mergeCell ref="B27:C27"/>
    <mergeCell ref="L38:Q38"/>
    <mergeCell ref="I32:J32"/>
    <mergeCell ref="H27:J27"/>
    <mergeCell ref="A29:C29"/>
    <mergeCell ref="E6:I6"/>
    <mergeCell ref="G33:H33"/>
    <mergeCell ref="I33:J33"/>
    <mergeCell ref="A2:Q2"/>
    <mergeCell ref="F31:G31"/>
    <mergeCell ref="A8:B8"/>
    <mergeCell ref="C8:D8"/>
    <mergeCell ref="J5:L5"/>
    <mergeCell ref="A18:J18"/>
    <mergeCell ref="D23:E23"/>
    <mergeCell ref="A42:J42"/>
    <mergeCell ref="P4:Q4"/>
    <mergeCell ref="J6:L6"/>
    <mergeCell ref="D39:G39"/>
    <mergeCell ref="D32:F32"/>
    <mergeCell ref="J4:L4"/>
    <mergeCell ref="L39:Q39"/>
    <mergeCell ref="A43:G43"/>
    <mergeCell ref="E8:I8"/>
    <mergeCell ref="H45:J45"/>
    <mergeCell ref="Q19:Q20"/>
    <mergeCell ref="D33:F33"/>
    <mergeCell ref="N19:N20"/>
    <mergeCell ref="P19:P20"/>
    <mergeCell ref="M6:Q6"/>
    <mergeCell ref="B28:C28"/>
    <mergeCell ref="J8:L8"/>
    <mergeCell ref="A30:C30"/>
    <mergeCell ref="D27:G27"/>
    <mergeCell ref="D24:H26"/>
    <mergeCell ref="A10:Q10"/>
    <mergeCell ref="B19:E19"/>
    <mergeCell ref="P5:Q5"/>
    <mergeCell ref="A40:B40"/>
    <mergeCell ref="H39:J39"/>
    <mergeCell ref="C41:E41"/>
    <mergeCell ref="A4:D4"/>
    <mergeCell ref="G47:M47"/>
    <mergeCell ref="B20:E20"/>
    <mergeCell ref="F40:G40"/>
    <mergeCell ref="E7:Q7"/>
    <mergeCell ref="D21:E21"/>
    <mergeCell ref="A44:G44"/>
    <mergeCell ref="B23:C23"/>
    <mergeCell ref="N47:Q47"/>
    <mergeCell ref="F41:G41"/>
    <mergeCell ref="A6:D6"/>
    <mergeCell ref="L13:O13"/>
    <mergeCell ref="B25:C26"/>
    <mergeCell ref="I28:J30"/>
    <mergeCell ref="D28:H30"/>
    <mergeCell ref="A39:C39"/>
    <mergeCell ref="O3:Q3"/>
    <mergeCell ref="H43:J43"/>
    <mergeCell ref="M8:Q8"/>
    <mergeCell ref="H41:J41"/>
    <mergeCell ref="M19:M20"/>
    <mergeCell ref="M4:N4"/>
    <mergeCell ref="C3:G3"/>
    <mergeCell ref="L19:L20"/>
  </mergeCells>
  <printOptions gridLines="false" gridLinesSet="true" horizontalCentered="true"/>
  <pageMargins left="0.16" right="0.17" top="0.39370078740157" bottom="0.43" header="0.31496062992126" footer="0.31496062992126"/>
  <pageSetup paperSize="9" orientation="portrait" scale="73"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O56"/>
  <sheetViews>
    <sheetView tabSelected="1" workbookViewId="0" zoomScale="70" zoomScaleNormal="70" showGridLines="true" showRowColHeaders="1">
      <selection activeCell="B6" sqref="B6:E6"/>
    </sheetView>
  </sheetViews>
  <sheetFormatPr defaultRowHeight="14.4" outlineLevelRow="0" outlineLevelCol="0"/>
  <cols>
    <col min="1" max="1" width="6.25" customWidth="true" style="244"/>
    <col min="2" max="2" width="14" customWidth="true" style="244"/>
    <col min="3" max="3" width="6.25" customWidth="true" style="244"/>
    <col min="4" max="4" width="16.875" customWidth="true" style="244"/>
    <col min="5" max="5" width="6.375" customWidth="true" style="244"/>
    <col min="6" max="6" width="8.125" customWidth="true" style="244"/>
    <col min="7" max="7" width="17.625" customWidth="true" style="244"/>
    <col min="8" max="8" width="5.875" customWidth="true" style="244"/>
    <col min="9" max="9" width="2.125" customWidth="true" style="244"/>
    <col min="10" max="10" width="23.625" customWidth="true" style="244"/>
    <col min="11" max="11" width="19" customWidth="true" style="244"/>
    <col min="12" max="12" width="3.5" customWidth="true" style="244"/>
    <col min="13" max="13" width="2.875" customWidth="true" style="244"/>
    <col min="14" max="14" width="8.375" customWidth="true" style="244"/>
    <col min="15" max="15" width="5.25" customWidth="true" style="244"/>
  </cols>
  <sheetData>
    <row r="1" spans="1:15" customHeight="1" ht="17.25" s="244" customFormat="1">
      <c r="A1" s="200" t="inlineStr">
        <is>
          <r>
            <t xml:space="preserve">■ 자동차등록규칙 [별지 제 20호 서식] &lt;개정 2025. 1. 10.&gt;</t>
          </r>
        </is>
      </c>
      <c r="B1" s="244"/>
      <c r="C1" s="244"/>
      <c r="D1" s="244"/>
      <c r="E1" s="244"/>
      <c r="F1" s="244"/>
      <c r="G1" s="244"/>
      <c r="H1" s="244"/>
      <c r="I1" s="244"/>
      <c r="J1" s="244"/>
      <c r="K1" s="244"/>
      <c r="L1" s="244"/>
      <c r="M1" s="244"/>
      <c r="N1" s="244"/>
      <c r="O1" s="244"/>
    </row>
    <row r="2" spans="1:15" customHeight="1" ht="17.25" s="244" customFormat="1">
      <c r="A2" s="200" t="inlineStr">
        <is>
          <r>
            <t xml:space="preserve">■ 자동차등록규칙 [별지 제 20호 서식] &lt;개정 2025. 1. 10.&gt;</t>
          </r>
        </is>
      </c>
      <c r="B2" s="244"/>
      <c r="C2" s="244"/>
      <c r="D2" s="244"/>
      <c r="E2" s="244"/>
      <c r="F2" s="244"/>
      <c r="G2" s="244"/>
      <c r="H2" s="244"/>
      <c r="I2" s="244"/>
      <c r="J2" s="244"/>
      <c r="K2" s="244"/>
      <c r="L2" s="244"/>
      <c r="M2" s="244"/>
      <c r="N2" s="244"/>
      <c r="O2" s="244"/>
    </row>
    <row r="3" spans="1:15" customHeight="1" ht="17.25" s="244" customFormat="1">
      <c r="A3" s="200" t="inlineStr">
        <is>
          <r>
            <t xml:space="preserve">     Motor vehicle Registration Rules [Annex Form 20]</t>
          </r>
        </is>
      </c>
      <c r="B3" s="244"/>
      <c r="C3" s="244"/>
      <c r="D3" s="244"/>
      <c r="E3" s="244"/>
      <c r="F3" s="244"/>
      <c r="G3" s="244"/>
      <c r="H3" s="244"/>
      <c r="I3" s="244"/>
      <c r="J3" s="244"/>
      <c r="K3" s="244"/>
      <c r="L3" s="244"/>
      <c r="M3" s="244"/>
      <c r="N3" s="244"/>
      <c r="O3" s="244"/>
    </row>
    <row r="4" spans="1:15" customHeight="1" ht="38.25" s="244" customFormat="1">
      <c r="A4" s="196" t="inlineStr">
        <is>
          <r>
            <t xml:space="preserve">자동차말소등록사실증명서</t>
          </r>
        </is>
      </c>
      <c r="B4" s="244"/>
      <c r="C4" s="244"/>
      <c r="D4" s="244"/>
      <c r="E4" s="244"/>
      <c r="F4" s="244"/>
      <c r="G4" s="244"/>
      <c r="H4" s="244"/>
      <c r="I4" s="244"/>
      <c r="J4" s="244"/>
      <c r="K4" s="244"/>
      <c r="L4" s="244"/>
      <c r="M4" s="244"/>
      <c r="N4" s="244"/>
      <c r="O4" s="244"/>
    </row>
    <row r="5" spans="1:15" customHeight="1" ht="27.75" s="244" customFormat="1">
      <c r="A5" s="203" t="inlineStr">
        <is>
          <r>
            <t xml:space="preserve">Certificate of De-registration of Motor Vehicle</t>
          </r>
        </is>
      </c>
      <c r="B5" s="244"/>
      <c r="C5" s="244"/>
      <c r="D5" s="244"/>
      <c r="E5" s="244"/>
      <c r="F5" s="244"/>
      <c r="G5" s="244"/>
      <c r="H5" s="244"/>
      <c r="I5" s="244"/>
      <c r="J5" s="244"/>
      <c r="K5" s="244"/>
      <c r="L5" s="244"/>
      <c r="M5" s="244"/>
      <c r="N5" s="244"/>
      <c r="O5" s="244"/>
    </row>
    <row r="6" spans="1:15" customHeight="1" ht="24.95" s="244" customFormat="1">
      <c r="A6" s="92" t="inlineStr">
        <is>
          <r>
            <t xml:space="preserve">제</t>
          </r>
        </is>
      </c>
      <c r="B6" s="92" t="str">
        <f>구매리스트!D3</f>
        <v>0</v>
      </c>
      <c r="C6" s="399"/>
      <c r="D6" s="399"/>
      <c r="E6" s="399"/>
      <c r="F6" s="204" t="inlineStr">
        <is>
          <r>
            <t xml:space="preserve">호 (No.        )</t>
          </r>
        </is>
      </c>
      <c r="G6" s="253"/>
      <c r="H6" s="93"/>
      <c r="I6" s="93"/>
      <c r="J6" s="93"/>
      <c r="K6" s="197" t="inlineStr">
        <is>
          <r>
            <t xml:space="preserve"> </t>
          </r>
        </is>
      </c>
      <c r="L6" s="253"/>
      <c r="M6" s="300" t="inlineStr">
        <is>
          <r>
            <t xml:space="preserve"> </t>
          </r>
        </is>
      </c>
      <c r="N6" s="253"/>
      <c r="O6" s="253"/>
    </row>
    <row r="7" spans="1:15" customHeight="1" ht="11.25" s="244" customFormat="1">
      <c r="A7" s="74"/>
      <c r="B7" s="74"/>
      <c r="C7" s="74"/>
      <c r="D7" s="75"/>
      <c r="E7" s="75"/>
      <c r="F7" s="75"/>
      <c r="G7" s="74"/>
      <c r="H7" s="74"/>
      <c r="I7" s="74"/>
      <c r="J7" s="74"/>
      <c r="K7" s="75"/>
      <c r="L7" s="75"/>
      <c r="M7" s="74"/>
      <c r="N7" s="74"/>
      <c r="O7" s="74"/>
    </row>
    <row r="8" spans="1:15" customHeight="1" ht="21.95" s="244" customFormat="1">
      <c r="A8" s="301" t="inlineStr">
        <is>
          <r>
            <t xml:space="preserve">자동차의
표    시    
Vehicle
Details</t>
          </r>
        </is>
      </c>
      <c r="B8" s="302"/>
      <c r="C8" s="205" t="inlineStr">
        <is>
          <r>
            <t xml:space="preserve">자동차등록번호</t>
          </r>
        </is>
      </c>
      <c r="D8" s="302"/>
      <c r="E8" s="198" t="str">
        <f>구매리스트!B4</f>
        <v>0</v>
      </c>
      <c r="F8" s="249"/>
      <c r="G8" s="302"/>
      <c r="H8" s="205" t="inlineStr">
        <is>
          <r>
            <t xml:space="preserve">차종 및 주행거리</t>
          </r>
        </is>
      </c>
      <c r="I8" s="249"/>
      <c r="J8" s="302"/>
      <c r="K8" s="206" t="inlineStr">
        <is>
          <r>
            <t xml:space="preserve">승용</t>
          </r>
        </is>
      </c>
      <c r="L8" s="249"/>
      <c r="M8" s="249"/>
      <c r="N8" s="80" t="inlineStr">
        <is>
          <r>
            <t xml:space="preserve"> </t>
          </r>
        </is>
      </c>
      <c r="O8" s="81"/>
    </row>
    <row r="9" spans="1:15" customHeight="1" ht="21.95" s="244" customFormat="1">
      <c r="A9" s="244"/>
      <c r="B9" s="303"/>
      <c r="C9" s="180" t="inlineStr">
        <is>
          <r>
            <t xml:space="preserve">Registration No.</t>
          </r>
        </is>
      </c>
      <c r="D9" s="303"/>
      <c r="E9" s="184" t="str">
        <f>구매리스트!D4</f>
        <v>0</v>
      </c>
      <c r="F9" s="184"/>
      <c r="G9" s="184"/>
      <c r="H9" s="180" t="inlineStr">
        <is>
          <r>
            <t xml:space="preserve">Vehicle Type and Mileage</t>
          </r>
        </is>
      </c>
      <c r="I9" s="244"/>
      <c r="J9" s="303"/>
      <c r="K9" s="202" t="str">
        <f>구매리스트!D7</f>
        <v>0</v>
      </c>
      <c r="L9" s="244"/>
      <c r="M9" s="244"/>
      <c r="N9" s="82"/>
      <c r="O9" s="83"/>
    </row>
    <row r="10" spans="1:15" customHeight="1" ht="21.95" s="244" customFormat="1">
      <c r="A10" s="244"/>
      <c r="B10" s="303"/>
      <c r="C10" s="201" t="inlineStr">
        <is>
          <r>
            <t xml:space="preserve">차명</t>
          </r>
        </is>
      </c>
      <c r="D10" s="305"/>
      <c r="E10" s="306" t="str">
        <f>구매리스트!B5</f>
        <v>0</v>
      </c>
      <c r="F10" s="307"/>
      <c r="G10" s="305"/>
      <c r="H10" s="201" t="inlineStr">
        <is>
          <r>
            <t xml:space="preserve">차대번호</t>
          </r>
        </is>
      </c>
      <c r="I10" s="307"/>
      <c r="J10" s="305"/>
      <c r="K10" s="308" t="str">
        <f>구매리스트!D5</f>
        <v>0</v>
      </c>
      <c r="L10" s="307"/>
      <c r="M10" s="307"/>
      <c r="N10" s="307"/>
      <c r="O10" s="307"/>
    </row>
    <row r="11" spans="1:15" customHeight="1" ht="21.95" s="244" customFormat="1">
      <c r="A11" s="244"/>
      <c r="B11" s="303"/>
      <c r="C11" s="199" t="inlineStr">
        <is>
          <r>
            <t xml:space="preserve">Model</t>
          </r>
        </is>
      </c>
      <c r="D11" s="309"/>
      <c r="E11" s="310"/>
      <c r="F11" s="311"/>
      <c r="G11" s="309"/>
      <c r="H11" s="199" t="inlineStr">
        <is>
          <r>
            <t xml:space="preserve">Chassis No.</t>
          </r>
        </is>
      </c>
      <c r="I11" s="311"/>
      <c r="J11" s="309"/>
      <c r="K11" s="310"/>
      <c r="L11" s="311"/>
      <c r="M11" s="311"/>
      <c r="N11" s="311"/>
      <c r="O11" s="311"/>
    </row>
    <row r="12" spans="1:15" customHeight="1" ht="21.95" s="244" customFormat="1">
      <c r="A12" s="244"/>
      <c r="B12" s="303"/>
      <c r="C12" s="180" t="inlineStr">
        <is>
          <r>
            <t xml:space="preserve">원동기형식</t>
          </r>
        </is>
      </c>
      <c r="D12" s="303"/>
      <c r="E12" s="184" t="str">
        <f>구매리스트!I4</f>
        <v>0</v>
      </c>
      <c r="F12" s="244"/>
      <c r="G12" s="303"/>
      <c r="H12" s="180" t="inlineStr">
        <is>
          <r>
            <t xml:space="preserve">모델연도</t>
          </r>
        </is>
      </c>
      <c r="I12" s="244"/>
      <c r="J12" s="303"/>
      <c r="K12" s="183" t="str">
        <f>구매리스트!D6</f>
        <v>0</v>
      </c>
      <c r="L12" s="244"/>
      <c r="M12" s="244"/>
      <c r="N12" s="244"/>
      <c r="O12" s="244"/>
    </row>
    <row r="13" spans="1:15" customHeight="1" ht="21.95" s="244" customFormat="1">
      <c r="A13" s="244"/>
      <c r="B13" s="303"/>
      <c r="C13" s="180" t="inlineStr">
        <is>
          <r>
            <t xml:space="preserve">Type of Engine</t>
          </r>
        </is>
      </c>
      <c r="D13" s="303"/>
      <c r="E13" s="304"/>
      <c r="F13" s="244"/>
      <c r="G13" s="303"/>
      <c r="H13" s="180" t="inlineStr">
        <is>
          <r>
            <t xml:space="preserve">Model Year</t>
          </r>
        </is>
      </c>
      <c r="I13" s="244"/>
      <c r="J13" s="303"/>
      <c r="K13" s="304"/>
      <c r="L13" s="244"/>
      <c r="M13" s="244"/>
      <c r="N13" s="244"/>
      <c r="O13" s="244"/>
    </row>
    <row r="14" spans="1:15" customHeight="1" ht="21.95" s="244" customFormat="1">
      <c r="A14" s="244"/>
      <c r="B14" s="303"/>
      <c r="C14" s="178" t="inlineStr">
        <is>
          <r>
            <t xml:space="preserve">제원관리번호</t>
          </r>
        </is>
      </c>
      <c r="D14" s="312"/>
      <c r="E14" s="313" t="str">
        <f>구매리스트!G5</f>
        <v>0</v>
      </c>
      <c r="F14" s="314"/>
      <c r="G14" s="312"/>
      <c r="H14" s="315" t="inlineStr">
        <is>
          <r>
            <t xml:space="preserve">용도
Vehicle Use</t>
          </r>
        </is>
      </c>
      <c r="I14" s="314"/>
      <c r="J14" s="312"/>
      <c r="K14" s="308" t="str">
        <f>구매리스트!B8</f>
        <v>0</v>
      </c>
      <c r="L14" s="314"/>
      <c r="M14" s="314"/>
      <c r="N14" s="314"/>
      <c r="O14" s="314"/>
    </row>
    <row r="15" spans="1:15" customHeight="1" ht="18" s="244" customFormat="1">
      <c r="A15" s="244"/>
      <c r="B15" s="303"/>
      <c r="C15" s="180" t="inlineStr">
        <is>
          <r>
            <t xml:space="preserve">Specification</t>
          </r>
        </is>
      </c>
      <c r="D15" s="303"/>
      <c r="E15" s="304"/>
      <c r="F15" s="244"/>
      <c r="G15" s="303"/>
      <c r="H15" s="304"/>
      <c r="I15" s="244"/>
      <c r="J15" s="303"/>
      <c r="K15" s="304"/>
      <c r="L15" s="244"/>
      <c r="M15" s="244"/>
      <c r="N15" s="244"/>
      <c r="O15" s="244"/>
    </row>
    <row r="16" spans="1:15" customHeight="1" ht="18" s="244" customFormat="1">
      <c r="A16" s="244"/>
      <c r="B16" s="303"/>
      <c r="C16" s="179" t="inlineStr">
        <is>
          <r>
            <t xml:space="preserve">Management no.</t>
          </r>
        </is>
      </c>
      <c r="D16" s="316"/>
      <c r="E16" s="317"/>
      <c r="F16" s="318"/>
      <c r="G16" s="316"/>
      <c r="H16" s="317"/>
      <c r="I16" s="318"/>
      <c r="J16" s="316"/>
      <c r="K16" s="317"/>
      <c r="L16" s="318"/>
      <c r="M16" s="318"/>
      <c r="N16" s="318"/>
      <c r="O16" s="318"/>
    </row>
    <row r="17" spans="1:15" customHeight="1" ht="21.95" s="244" customFormat="1">
      <c r="A17" s="244"/>
      <c r="B17" s="303"/>
      <c r="C17" s="180" t="inlineStr">
        <is>
          <r>
            <t xml:space="preserve">최초등록일</t>
          </r>
        </is>
      </c>
      <c r="D17" s="303"/>
      <c r="E17" s="187" t="str">
        <f>구매리스트!B6</f>
        <v>0</v>
      </c>
      <c r="F17" s="244"/>
      <c r="G17" s="303"/>
      <c r="H17" s="180" t="inlineStr">
        <is>
          <r>
            <t xml:space="preserve">사업용사용기간</t>
          </r>
        </is>
      </c>
      <c r="I17" s="244"/>
      <c r="J17" s="303"/>
      <c r="K17" s="208" t="inlineStr">
        <is>
          <r>
            <t xml:space="preserve"> </t>
          </r>
        </is>
      </c>
      <c r="L17" s="244"/>
      <c r="M17" s="244"/>
      <c r="N17" s="244"/>
      <c r="O17" s="244"/>
    </row>
    <row r="18" spans="1:15" customHeight="1" ht="18" s="244" customFormat="1">
      <c r="A18" s="244"/>
      <c r="B18" s="303"/>
      <c r="C18" s="180" t="inlineStr">
        <is>
          <r>
            <t xml:space="preserve">Dete of initial</t>
          </r>
        </is>
      </c>
      <c r="D18" s="303"/>
      <c r="E18" s="304"/>
      <c r="F18" s="244"/>
      <c r="G18" s="303"/>
      <c r="H18" s="180" t="inlineStr">
        <is>
          <r>
            <t xml:space="preserve">Period of</t>
          </r>
        </is>
      </c>
      <c r="I18" s="244"/>
      <c r="J18" s="303"/>
      <c r="K18" s="304"/>
      <c r="L18" s="244"/>
      <c r="M18" s="244"/>
      <c r="N18" s="244"/>
      <c r="O18" s="244"/>
    </row>
    <row r="19" spans="1:15" customHeight="1" ht="18" s="244" customFormat="1">
      <c r="A19" s="251"/>
      <c r="B19" s="319"/>
      <c r="C19" s="182" t="inlineStr">
        <is>
          <r>
            <t xml:space="preserve">Registraton</t>
          </r>
        </is>
      </c>
      <c r="D19" s="319"/>
      <c r="E19" s="320"/>
      <c r="F19" s="251"/>
      <c r="G19" s="319"/>
      <c r="H19" s="182" t="inlineStr">
        <is>
          <r>
            <t xml:space="preserve">Business Usage</t>
          </r>
        </is>
      </c>
      <c r="I19" s="251"/>
      <c r="J19" s="319"/>
      <c r="K19" s="320"/>
      <c r="L19" s="251"/>
      <c r="M19" s="251"/>
      <c r="N19" s="251"/>
      <c r="O19" s="251"/>
    </row>
    <row r="20" spans="1:15" customHeight="1" ht="11.25" s="244" customFormat="1">
      <c r="A20" s="84"/>
      <c r="B20" s="84"/>
      <c r="C20" s="84"/>
      <c r="D20" s="85"/>
      <c r="E20" s="85"/>
      <c r="F20" s="85"/>
      <c r="G20" s="84"/>
      <c r="H20" s="84"/>
      <c r="I20" s="84"/>
      <c r="J20" s="84"/>
      <c r="K20" s="85"/>
      <c r="L20" s="85"/>
      <c r="M20" s="84"/>
      <c r="N20" s="84"/>
      <c r="O20" s="84"/>
    </row>
    <row r="21" spans="1:15" customHeight="1" ht="33.75" s="244" customFormat="1">
      <c r="A21" s="207" t="inlineStr">
        <is>
          <r>
            <t xml:space="preserve">소유자</t>
          </r>
        </is>
      </c>
      <c r="B21" s="302"/>
      <c r="C21" s="205" t="inlineStr">
        <is>
          <r>
            <t xml:space="preserve">성명 (명칭)</t>
          </r>
        </is>
      </c>
      <c r="D21" s="302"/>
      <c r="E21" s="394" t="inlineStr">
        <is>
          <r>
            <t xml:space="preserve">주식회사싼카</t>
          </r>
        </is>
      </c>
      <c r="F21" s="249"/>
      <c r="G21" s="302"/>
      <c r="H21" s="185" t="inlineStr">
        <is>
          <r>
            <t xml:space="preserve">생년월일(법인등록번호)</t>
          </r>
        </is>
      </c>
      <c r="I21" s="249"/>
      <c r="J21" s="302"/>
      <c r="K21" s="321" t="inlineStr">
        <is>
          <r>
            <t xml:space="preserve">120111-0922270</t>
          </r>
        </is>
      </c>
      <c r="L21" s="249"/>
      <c r="M21" s="249"/>
      <c r="N21" s="249"/>
      <c r="O21" s="302"/>
    </row>
    <row r="22" spans="1:15" customHeight="1" ht="33.75" s="244" customFormat="1">
      <c r="A22" s="210" t="inlineStr">
        <is>
          <r>
            <t xml:space="preserve">Owner</t>
          </r>
        </is>
      </c>
      <c r="B22" s="319"/>
      <c r="C22" s="182" t="inlineStr">
        <is>
          <r>
            <t xml:space="preserve">Name</t>
          </r>
        </is>
      </c>
      <c r="D22" s="319"/>
      <c r="E22" s="320"/>
      <c r="F22" s="251"/>
      <c r="G22" s="319"/>
      <c r="H22" s="186" t="inlineStr">
        <is>
          <r>
            <t xml:space="preserve">Date of birth
(Corporate Registration No.)</t>
          </r>
        </is>
      </c>
      <c r="I22" s="251"/>
      <c r="J22" s="319"/>
      <c r="K22" s="320"/>
      <c r="L22" s="251"/>
      <c r="M22" s="251"/>
      <c r="N22" s="251"/>
      <c r="O22" s="319"/>
    </row>
    <row r="23" spans="1:15" customHeight="1" ht="11.25" s="244" customFormat="1">
      <c r="A23" s="84"/>
      <c r="B23" s="84"/>
      <c r="C23" s="84"/>
      <c r="D23" s="85"/>
      <c r="E23" s="85"/>
      <c r="F23" s="85"/>
      <c r="G23" s="84"/>
      <c r="H23" s="84"/>
      <c r="I23" s="84"/>
      <c r="J23" s="84"/>
      <c r="K23" s="85"/>
      <c r="L23" s="85"/>
      <c r="M23" s="84"/>
      <c r="N23" s="84"/>
      <c r="O23" s="84"/>
    </row>
    <row r="24" spans="1:15" customHeight="1" ht="24" s="244" customFormat="1">
      <c r="A24" s="211" t="inlineStr">
        <is>
          <r>
            <t xml:space="preserve">말소등록일</t>
          </r>
        </is>
      </c>
      <c r="B24" s="249"/>
      <c r="C24" s="249"/>
      <c r="D24" s="302"/>
      <c r="E24" s="322" t="str">
        <f>구매리스트!B7</f>
        <v>0</v>
      </c>
      <c r="F24" s="249"/>
      <c r="G24" s="302"/>
      <c r="H24" s="205" t="inlineStr">
        <is>
          <r>
            <t xml:space="preserve">증명서 용도</t>
          </r>
        </is>
      </c>
      <c r="I24" s="249"/>
      <c r="J24" s="302"/>
      <c r="K24" s="323" t="inlineStr">
        <is>
          <r>
            <t xml:space="preserve">증명용</t>
          </r>
        </is>
      </c>
      <c r="L24" s="249"/>
      <c r="M24" s="249"/>
      <c r="N24" s="249"/>
      <c r="O24" s="302"/>
    </row>
    <row r="25" spans="1:15" customHeight="1" ht="24" s="244" customFormat="1">
      <c r="A25" s="213" t="inlineStr">
        <is>
          <r>
            <t xml:space="preserve">Date of De-reglstration</t>
          </r>
        </is>
      </c>
      <c r="B25" s="324"/>
      <c r="C25" s="324"/>
      <c r="D25" s="325"/>
      <c r="E25" s="326"/>
      <c r="F25" s="324"/>
      <c r="G25" s="325"/>
      <c r="H25" s="214" t="inlineStr">
        <is>
          <r>
            <t xml:space="preserve">Use of Certificate</t>
          </r>
        </is>
      </c>
      <c r="I25" s="324"/>
      <c r="J25" s="325"/>
      <c r="K25" s="326"/>
      <c r="L25" s="324"/>
      <c r="M25" s="324"/>
      <c r="N25" s="324"/>
      <c r="O25" s="325"/>
    </row>
    <row r="26" spans="1:15" customHeight="1" ht="24" s="244" customFormat="1">
      <c r="A26" s="212" t="inlineStr">
        <is>
          <r>
            <t xml:space="preserve">말소등록구분</t>
          </r>
        </is>
      </c>
      <c r="B26" s="244"/>
      <c r="C26" s="244"/>
      <c r="D26" s="303"/>
      <c r="E26" s="215" t="inlineStr">
        <is>
          <r>
            <t xml:space="preserve">수출예정(수출말소)</t>
          </r>
        </is>
      </c>
      <c r="F26" s="244"/>
      <c r="G26" s="303"/>
      <c r="H26" s="180" t="inlineStr">
        <is>
          <r>
            <t xml:space="preserve">권리관계여부</t>
          </r>
        </is>
      </c>
      <c r="I26" s="244"/>
      <c r="J26" s="303"/>
      <c r="K26" s="94" t="inlineStr">
        <is>
          <r>
            <t xml:space="preserve">압류(Seiure)</t>
          </r>
        </is>
      </c>
      <c r="L26" s="95"/>
      <c r="M26" s="95" t="inlineStr">
        <is>
          <r>
            <t xml:space="preserve">:</t>
          </r>
        </is>
      </c>
      <c r="N26" s="96">
        <v>0</v>
      </c>
      <c r="O26" s="97" t="inlineStr">
        <is>
          <r>
            <t xml:space="preserve">건</t>
          </r>
        </is>
      </c>
    </row>
    <row r="27" spans="1:15" customHeight="1" ht="24" s="244" customFormat="1">
      <c r="A27" s="209" t="inlineStr">
        <is>
          <r>
            <t xml:space="preserve">Reason for De-registration</t>
          </r>
        </is>
      </c>
      <c r="B27" s="251"/>
      <c r="C27" s="251"/>
      <c r="D27" s="319"/>
      <c r="E27" s="320"/>
      <c r="F27" s="251"/>
      <c r="G27" s="319"/>
      <c r="H27" s="182" t="inlineStr">
        <is>
          <r>
            <t xml:space="preserve">Relation of Rights</t>
          </r>
        </is>
      </c>
      <c r="I27" s="251"/>
      <c r="J27" s="319"/>
      <c r="K27" s="98" t="inlineStr">
        <is>
          <r>
            <t xml:space="preserve">저당권(Mortgage)</t>
          </r>
        </is>
      </c>
      <c r="L27" s="79"/>
      <c r="M27" s="90" t="inlineStr">
        <is>
          <r>
            <t xml:space="preserve">:</t>
          </r>
        </is>
      </c>
      <c r="N27" s="79">
        <v>0</v>
      </c>
      <c r="O27" s="91" t="inlineStr">
        <is>
          <r>
            <t xml:space="preserve">건</t>
          </r>
        </is>
      </c>
    </row>
    <row r="28" spans="1:15" customHeight="1" ht="11.25" s="244" customFormat="1">
      <c r="A28" s="77"/>
      <c r="B28" s="77"/>
      <c r="C28" s="77"/>
      <c r="D28" s="78"/>
      <c r="E28" s="78"/>
      <c r="F28" s="78"/>
      <c r="G28" s="77"/>
      <c r="H28" s="77"/>
      <c r="I28" s="77"/>
      <c r="J28" s="77"/>
      <c r="K28" s="78"/>
      <c r="L28" s="78"/>
      <c r="M28" s="77"/>
      <c r="N28" s="77"/>
      <c r="O28" s="77"/>
    </row>
    <row r="29" spans="1:15" customHeight="1" ht="32.25" s="244" customFormat="1">
      <c r="A29" s="216" t="inlineStr">
        <is>
          <r>
            <t xml:space="preserve">「자동차관리법」제13조 및 「자동차등록규칙」제40조에 따라 말소등록 되었음을 증명합니다.</t>
          </r>
        </is>
      </c>
      <c r="B29" s="244"/>
      <c r="C29" s="244"/>
      <c r="D29" s="244"/>
      <c r="E29" s="244"/>
      <c r="F29" s="244"/>
      <c r="G29" s="244"/>
      <c r="H29" s="244"/>
      <c r="I29" s="244"/>
      <c r="J29" s="244"/>
      <c r="K29" s="244"/>
      <c r="L29" s="244"/>
      <c r="M29" s="244"/>
      <c r="N29" s="244"/>
      <c r="O29" s="244"/>
    </row>
    <row r="30" spans="1:15" customHeight="1" ht="32.25" s="244" customFormat="1">
      <c r="A30" s="216" t="inlineStr">
        <is>
          <r>
            <t xml:space="preserve">  This is to certify that the above vehicle was de-registered in accordance with Article 13 of the Motor</t>
          </r>
        </is>
      </c>
      <c r="B30" s="244"/>
      <c r="C30" s="244"/>
      <c r="D30" s="244"/>
      <c r="E30" s="244"/>
      <c r="F30" s="244"/>
      <c r="G30" s="244"/>
      <c r="H30" s="244"/>
      <c r="I30" s="244"/>
      <c r="J30" s="244"/>
      <c r="K30" s="244"/>
      <c r="L30" s="244"/>
      <c r="M30" s="244"/>
      <c r="N30" s="244"/>
      <c r="O30" s="244"/>
    </row>
    <row r="31" spans="1:15" customHeight="1" ht="32.25" s="244" customFormat="1">
      <c r="A31" s="216" t="inlineStr">
        <is>
          <r>
            <t xml:space="preserve">Vehicle Management Act and Article 40 of the Motor Vehicle Registration Rules.</t>
          </r>
        </is>
      </c>
      <c r="B31" s="244"/>
      <c r="C31" s="244"/>
      <c r="D31" s="244"/>
      <c r="E31" s="244"/>
      <c r="F31" s="244"/>
      <c r="G31" s="244"/>
      <c r="H31" s="244"/>
      <c r="I31" s="244"/>
      <c r="J31" s="244"/>
      <c r="K31" s="244"/>
      <c r="L31" s="244"/>
      <c r="M31" s="244"/>
      <c r="N31" s="244"/>
      <c r="O31" s="244"/>
    </row>
    <row r="32" spans="1:15" customHeight="1" ht="9.75" s="244" customFormat="1">
      <c r="A32" s="77"/>
      <c r="B32" s="77"/>
      <c r="C32" s="77"/>
      <c r="D32" s="78"/>
      <c r="E32" s="78"/>
      <c r="F32" s="78"/>
      <c r="G32" s="77"/>
      <c r="H32" s="77"/>
      <c r="I32" s="77"/>
      <c r="J32" s="77"/>
      <c r="K32" s="78"/>
      <c r="L32" s="78"/>
      <c r="M32" s="77"/>
      <c r="N32" s="77"/>
      <c r="O32" s="77"/>
    </row>
    <row r="33" spans="1:15" customHeight="1" ht="35.25" s="244" customFormat="1">
      <c r="A33" s="77" t="inlineStr">
        <is>
          <r>
            <t xml:space="preserve"> </t>
          </r>
        </is>
      </c>
      <c r="B33" s="77" t="inlineStr">
        <is>
          <r>
            <t xml:space="preserve"> </t>
          </r>
        </is>
      </c>
      <c r="C33" s="77"/>
      <c r="D33" s="77"/>
      <c r="E33" s="77"/>
      <c r="F33" s="77"/>
      <c r="G33" s="190" t="inlineStr">
        <is>
          <r>
            <t xml:space="preserve">발행 연월일 Date of Issue :</t>
          </r>
        </is>
      </c>
      <c r="H33" s="244"/>
      <c r="I33" s="244"/>
      <c r="J33" s="244"/>
      <c r="K33" s="217" t="str">
        <f>E24</f>
        <v>0</v>
      </c>
      <c r="L33" s="244"/>
      <c r="M33" s="244"/>
      <c r="N33" s="244"/>
      <c r="O33" s="77"/>
    </row>
    <row r="34" spans="1:15" customHeight="1" ht="85.5" s="244" customFormat="1">
      <c r="A34" s="77"/>
      <c r="B34" s="77"/>
      <c r="C34" s="77"/>
      <c r="D34" s="77"/>
      <c r="E34" s="77"/>
      <c r="F34" s="77"/>
      <c r="G34" s="393" t="s">
        <v>105</v>
      </c>
      <c r="H34" s="77"/>
      <c r="I34" s="77"/>
      <c r="J34" s="77"/>
      <c r="K34" s="78"/>
      <c r="L34" s="78"/>
      <c r="M34" s="78"/>
      <c r="N34" s="78"/>
      <c r="O34" s="77"/>
    </row>
    <row r="35" spans="1:15" customHeight="1" ht="19.5" s="244" customFormat="1">
      <c r="A35" s="190" t="inlineStr">
        <is>
          <r>
            <t xml:space="preserve">Speial Metropolitan City Mayor ' Metropolitan City Mayor'</t>
          </r>
        </is>
      </c>
      <c r="B35" s="244"/>
      <c r="C35" s="244"/>
      <c r="D35" s="244"/>
      <c r="E35" s="244"/>
      <c r="F35" s="244"/>
      <c r="G35" s="244"/>
      <c r="H35" s="244"/>
      <c r="I35" s="244"/>
      <c r="J35" s="244"/>
      <c r="K35" s="244"/>
      <c r="L35" s="244"/>
      <c r="M35" s="244"/>
      <c r="N35" s="77"/>
      <c r="O35" s="77"/>
    </row>
    <row r="36" spans="1:15" customHeight="1" ht="19.5" s="244" customFormat="1">
      <c r="A36" s="190" t="inlineStr">
        <is>
          <r>
            <t xml:space="preserve">Special Self-Governing City Mayor ' Do Governor ' Special Self-Governign Province Governor</t>
          </r>
        </is>
      </c>
      <c r="B36" s="244"/>
      <c r="C36" s="244"/>
      <c r="D36" s="244"/>
      <c r="E36" s="244"/>
      <c r="F36" s="244"/>
      <c r="G36" s="244"/>
      <c r="H36" s="244"/>
      <c r="I36" s="244"/>
      <c r="J36" s="244"/>
      <c r="K36" s="244"/>
      <c r="L36" s="244"/>
      <c r="M36" s="244"/>
      <c r="N36" s="78"/>
      <c r="O36" s="77"/>
    </row>
    <row r="37" spans="1:15" customHeight="1" ht="19.5" s="244" customFormat="1">
      <c r="A37" s="190" t="inlineStr">
        <is>
          <r>
            <t xml:space="preserve">(The Head of a Si / Gun / Gu</t>
          </r>
        </is>
      </c>
      <c r="B37" s="244"/>
      <c r="C37" s="244"/>
      <c r="D37" s="244"/>
      <c r="E37" s="244"/>
      <c r="F37" s="244"/>
      <c r="G37" s="244"/>
      <c r="H37" s="244"/>
      <c r="I37" s="244"/>
      <c r="J37" s="244"/>
      <c r="K37" s="244"/>
      <c r="L37" s="244"/>
      <c r="M37" s="244"/>
      <c r="N37" s="86"/>
      <c r="O37" s="87"/>
    </row>
    <row r="38" spans="1:15" customHeight="1" ht="24.95" s="244" customFormat="1">
      <c r="A38" s="218" t="inlineStr">
        <is>
          <r>
            <t xml:space="preserve">유의사항</t>
          </r>
        </is>
      </c>
      <c r="B38" s="327"/>
      <c r="C38" s="327"/>
      <c r="D38" s="327"/>
      <c r="E38" s="327"/>
      <c r="F38" s="327"/>
      <c r="G38" s="327"/>
      <c r="H38" s="327"/>
      <c r="I38" s="327"/>
      <c r="J38" s="327"/>
      <c r="K38" s="327"/>
      <c r="L38" s="327"/>
      <c r="M38" s="327"/>
      <c r="N38" s="327"/>
      <c r="O38" s="327"/>
    </row>
    <row r="39" spans="1:15" customHeight="1" ht="19.5" s="244" customFormat="1">
      <c r="A39" s="219" t="inlineStr">
        <is>
          <r>
            <t xml:space="preserve">1. 말소등록된 자동차를 다시 등록하여 사용하려는 경우에는 「자동차등록령」 제20조 및 아래 표의 구분에 따른 기간에 신규등록을 신청해야 하며,그 </t>
          </r>
        </is>
      </c>
      <c r="B39" s="328"/>
      <c r="C39" s="328"/>
      <c r="D39" s="328"/>
      <c r="E39" s="328"/>
      <c r="F39" s="328"/>
      <c r="G39" s="328"/>
      <c r="H39" s="328"/>
      <c r="I39" s="328"/>
      <c r="J39" s="328"/>
      <c r="K39" s="328"/>
      <c r="L39" s="328"/>
      <c r="M39" s="328"/>
      <c r="N39" s="328"/>
      <c r="O39" s="328"/>
    </row>
    <row r="40" spans="1:15" customHeight="1" ht="19.5" s="244" customFormat="1">
      <c r="A40" s="191" t="inlineStr">
        <is>
          <r>
            <t xml:space="preserve">    신청기간을 경과한 때에는 「자동차관리법」제84조제4항제7호에 따라 100만원 이하의 과태료를 납부해야 합니다. </t>
          </r>
        </is>
      </c>
      <c r="B40" s="244"/>
      <c r="C40" s="244"/>
      <c r="D40" s="244"/>
      <c r="E40" s="244"/>
      <c r="F40" s="244"/>
      <c r="G40" s="244"/>
      <c r="H40" s="244"/>
      <c r="I40" s="244"/>
      <c r="J40" s="244"/>
      <c r="K40" s="244"/>
      <c r="L40" s="244"/>
      <c r="M40" s="244"/>
      <c r="N40" s="244"/>
      <c r="O40" s="244"/>
    </row>
    <row r="41" spans="1:15" customHeight="1" ht="19.5" s="244" customFormat="1">
      <c r="A41" s="191" t="inlineStr">
        <is>
          <r>
            <t xml:space="preserve">2. 말소등록 당시에 압류 및 저당권 등이 등록된 자동차는 「자동차관리법」제13조제10항 후단에 따라 해당 관리관계가 소멸되었음을 「자동차등록규칙」</t>
          </r>
        </is>
      </c>
      <c r="B41" s="244"/>
      <c r="C41" s="244"/>
      <c r="D41" s="244"/>
      <c r="E41" s="244"/>
      <c r="F41" s="244"/>
      <c r="G41" s="244"/>
      <c r="H41" s="244"/>
      <c r="I41" s="244"/>
      <c r="J41" s="244"/>
      <c r="K41" s="244"/>
      <c r="L41" s="244"/>
      <c r="M41" s="244"/>
      <c r="N41" s="244"/>
      <c r="O41" s="244"/>
    </row>
    <row r="42" spans="1:15" customHeight="1" ht="19.5" s="244" customFormat="1">
      <c r="A42" s="191" t="inlineStr">
        <is>
          <r>
            <t xml:space="preserve">    제27조제3항에 따라 증명한 경우에만 신규등록을 신청할 수 있습니다. </t>
          </r>
        </is>
      </c>
      <c r="B42" s="244"/>
      <c r="C42" s="244"/>
      <c r="D42" s="244"/>
      <c r="E42" s="244"/>
      <c r="F42" s="244"/>
      <c r="G42" s="244"/>
      <c r="H42" s="244"/>
      <c r="I42" s="244"/>
      <c r="J42" s="244"/>
      <c r="K42" s="244"/>
      <c r="L42" s="244"/>
      <c r="M42" s="244"/>
      <c r="N42" s="244"/>
      <c r="O42" s="244"/>
    </row>
    <row r="43" spans="1:15" customHeight="1" ht="19.5" s="244" customFormat="1">
      <c r="A43" s="220" t="inlineStr">
        <is>
          <r>
            <t xml:space="preserve">말소등록 사유</t>
          </r>
        </is>
      </c>
      <c r="B43" s="329"/>
      <c r="C43" s="329"/>
      <c r="D43" s="329"/>
      <c r="E43" s="329"/>
      <c r="F43" s="329"/>
      <c r="G43" s="329"/>
      <c r="H43" s="329"/>
      <c r="I43" s="329"/>
      <c r="J43" s="330"/>
      <c r="K43" s="221" t="inlineStr">
        <is>
          <r>
            <t xml:space="preserve">신규등록 신청 기간</t>
          </r>
        </is>
      </c>
      <c r="L43" s="329"/>
      <c r="M43" s="329"/>
      <c r="N43" s="329"/>
      <c r="O43" s="330"/>
    </row>
    <row r="44" spans="1:15" customHeight="1" ht="19.5" s="244" customFormat="1">
      <c r="A44" s="76" t="inlineStr">
        <is>
          <r>
            <t xml:space="preserve">1.「여객자동차 운수사업법」및 「화물자동차 운사사업법」에 따라 면허.등록.인가 또는 신고가 실효되거나 취소되어</t>
          </r>
        </is>
      </c>
      <c r="B44" s="76"/>
      <c r="C44" s="76"/>
      <c r="D44" s="76"/>
      <c r="E44" s="76"/>
      <c r="F44" s="76"/>
      <c r="G44" s="76"/>
      <c r="H44" s="76"/>
      <c r="I44" s="76"/>
      <c r="J44" s="76"/>
      <c r="K44" s="181" t="inlineStr">
        <is>
          <r>
            <t xml:space="preserve">말소등록일부터 3개월 이내</t>
          </r>
        </is>
      </c>
      <c r="L44" s="307"/>
      <c r="M44" s="307"/>
      <c r="N44" s="307"/>
      <c r="O44" s="331"/>
    </row>
    <row r="45" spans="1:15" customHeight="1" ht="19.5" s="244" customFormat="1">
      <c r="A45" s="76" t="inlineStr">
        <is>
          <r>
            <t xml:space="preserve">     말소들록된 경우</t>
          </r>
        </is>
      </c>
      <c r="B45" s="76"/>
      <c r="C45" s="76"/>
      <c r="D45" s="76"/>
      <c r="E45" s="76"/>
      <c r="F45" s="76"/>
      <c r="G45" s="76"/>
      <c r="H45" s="76"/>
      <c r="I45" s="76"/>
      <c r="J45" s="76"/>
      <c r="K45" s="332"/>
      <c r="L45" s="244"/>
      <c r="M45" s="244"/>
      <c r="N45" s="244"/>
      <c r="O45" s="333"/>
    </row>
    <row r="46" spans="1:15" customHeight="1" ht="19.5" s="244" customFormat="1">
      <c r="A46" s="222" t="inlineStr">
        <is>
          <r>
            <t xml:space="preserve">2. 자동차를 교육,연구의 목적으로 사용하는 등 「자동차등록령」제31조제5항에 해당하는 사유로 말소등록된 경우</t>
          </r>
        </is>
      </c>
      <c r="B46" s="244"/>
      <c r="C46" s="244"/>
      <c r="D46" s="244"/>
      <c r="E46" s="244"/>
      <c r="F46" s="244"/>
      <c r="G46" s="244"/>
      <c r="H46" s="244"/>
      <c r="I46" s="244"/>
      <c r="J46" s="244"/>
      <c r="K46" s="332"/>
      <c r="L46" s="244"/>
      <c r="M46" s="244"/>
      <c r="N46" s="244"/>
      <c r="O46" s="333"/>
    </row>
    <row r="47" spans="1:15" customHeight="1" ht="19.5" s="244" customFormat="1">
      <c r="A47" s="191" t="inlineStr">
        <is>
          <r>
            <t xml:space="preserve">3. 자동차의 차대[차대가 없는 자동차의 경우에는 차체(車體)를 말합니다. 이하 이 호에서 같습니다]가 등록원부상의</t>
          </r>
        </is>
      </c>
      <c r="B47" s="244"/>
      <c r="C47" s="244"/>
      <c r="D47" s="244"/>
      <c r="E47" s="244"/>
      <c r="F47" s="244"/>
      <c r="G47" s="244"/>
      <c r="H47" s="244"/>
      <c r="I47" s="244"/>
      <c r="J47" s="244"/>
      <c r="K47" s="332"/>
      <c r="L47" s="244"/>
      <c r="M47" s="244"/>
      <c r="N47" s="244"/>
      <c r="O47" s="333"/>
    </row>
    <row r="48" spans="1:15" customHeight="1" ht="19.5" s="244" customFormat="1">
      <c r="A48" s="191" t="inlineStr">
        <is>
          <r>
            <t xml:space="preserve">    차대와 달라 직권으로 말소등록된 경우</t>
          </r>
        </is>
      </c>
      <c r="B48" s="244"/>
      <c r="C48" s="244"/>
      <c r="D48" s="244"/>
      <c r="E48" s="244"/>
      <c r="F48" s="244"/>
      <c r="G48" s="244"/>
      <c r="H48" s="244"/>
      <c r="I48" s="244"/>
      <c r="J48" s="244"/>
      <c r="K48" s="332"/>
      <c r="L48" s="244"/>
      <c r="M48" s="244"/>
      <c r="N48" s="244"/>
      <c r="O48" s="333"/>
    </row>
    <row r="49" spans="1:15" customHeight="1" ht="19.5" s="244" customFormat="1">
      <c r="A49" s="191" t="inlineStr">
        <is>
          <r>
            <t xml:space="preserve">4. 속임수나 그밖의 부정한 방법으로 등록되어 직권으로 말소등록된경우</t>
          </r>
        </is>
      </c>
      <c r="B49" s="244"/>
      <c r="C49" s="244"/>
      <c r="D49" s="244"/>
      <c r="E49" s="244"/>
      <c r="F49" s="244"/>
      <c r="G49" s="244"/>
      <c r="H49" s="244"/>
      <c r="I49" s="244"/>
      <c r="J49" s="244"/>
      <c r="K49" s="332"/>
      <c r="L49" s="244"/>
      <c r="M49" s="244"/>
      <c r="N49" s="244"/>
      <c r="O49" s="333"/>
    </row>
    <row r="50" spans="1:15" customHeight="1" ht="19.5" s="244" customFormat="1">
      <c r="A50" s="195" t="inlineStr">
        <is>
          <r>
            <t xml:space="preserve">5. 자동차를 제작.조립 또는 수입하는 자(이들로부터 자동차의 판매위탁을 받은 자를 포함합니다)에게 반품(「자동차</t>
          </r>
        </is>
      </c>
      <c r="B50" s="307"/>
      <c r="C50" s="307"/>
      <c r="D50" s="307"/>
      <c r="E50" s="307"/>
      <c r="F50" s="307"/>
      <c r="G50" s="307"/>
      <c r="H50" s="307"/>
      <c r="I50" s="307"/>
      <c r="J50" s="307"/>
      <c r="K50" s="334" t="inlineStr">
        <is>
          <r>
            <t xml:space="preserve">말소등록일부터 6개월 이내</t>
          </r>
        </is>
      </c>
      <c r="L50" s="307"/>
      <c r="M50" s="307"/>
      <c r="N50" s="307"/>
      <c r="O50" s="331"/>
    </row>
    <row r="51" spans="1:15" customHeight="1" ht="19.5" s="244" customFormat="1">
      <c r="A51" s="192" t="inlineStr">
        <is>
          <r>
            <t xml:space="preserve">     관리법」제47조의2의 교환 또는 환불 요구에 따라 반품된 경우를 포함합니다)하여 말소등록된 경우</t>
          </r>
        </is>
      </c>
      <c r="B51" s="311"/>
      <c r="C51" s="311"/>
      <c r="D51" s="311"/>
      <c r="E51" s="311"/>
      <c r="F51" s="311"/>
      <c r="G51" s="311"/>
      <c r="H51" s="311"/>
      <c r="I51" s="311"/>
      <c r="J51" s="311"/>
      <c r="K51" s="335"/>
      <c r="L51" s="311"/>
      <c r="M51" s="311"/>
      <c r="N51" s="311"/>
      <c r="O51" s="336"/>
    </row>
    <row r="52" spans="1:15" customHeight="1" ht="19.5" s="244" customFormat="1">
      <c r="A52" s="193" t="inlineStr">
        <is>
          <r>
            <t xml:space="preserve">6. 수출로 말소등록된 경우</t>
          </r>
        </is>
      </c>
      <c r="B52" s="337"/>
      <c r="C52" s="337"/>
      <c r="D52" s="337"/>
      <c r="E52" s="337"/>
      <c r="F52" s="337"/>
      <c r="G52" s="337"/>
      <c r="H52" s="337"/>
      <c r="I52" s="337"/>
      <c r="J52" s="337"/>
      <c r="K52" s="194" t="inlineStr">
        <is>
          <r>
            <t xml:space="preserve">말소등록일부터 1년 이내</t>
          </r>
        </is>
      </c>
      <c r="L52" s="337"/>
      <c r="M52" s="337"/>
      <c r="N52" s="337"/>
      <c r="O52" s="338"/>
    </row>
    <row r="53" spans="1:15" customHeight="1" ht="19.5" s="244" customFormat="1">
      <c r="A53" s="189" t="inlineStr">
        <is>
          <r>
            <t xml:space="preserve">7. 도난,횡령 또는 편취 당하여 말소등록된 경우</t>
          </r>
        </is>
      </c>
      <c r="B53" s="251"/>
      <c r="C53" s="251"/>
      <c r="D53" s="251"/>
      <c r="E53" s="251"/>
      <c r="F53" s="251"/>
      <c r="G53" s="251"/>
      <c r="H53" s="251"/>
      <c r="I53" s="251"/>
      <c r="J53" s="339"/>
      <c r="K53" s="188" t="inlineStr">
        <is>
          <r>
            <t xml:space="preserve">해당 자동차를 회수한 날부터 3개월 이내</t>
          </r>
        </is>
      </c>
      <c r="L53" s="251"/>
      <c r="M53" s="251"/>
      <c r="N53" s="251"/>
      <c r="O53" s="251"/>
    </row>
    <row r="54" spans="1:15" customHeight="1" ht="20.25" s="89" customFormat="1">
      <c r="A54" s="88" t="inlineStr">
        <is>
          <r>
            <t xml:space="preserve">◈ 자동차365(car365.go.kr)의 인터넷발급문서확인 메뉴를 통해 위.변조 여부를 확인할 수 있습니다. (발급일로부터 90일까지)또한 문서 하단의 바코드로도</t>
          </r>
        </is>
      </c>
      <c r="B54" s="88"/>
      <c r="C54" s="88"/>
      <c r="D54" s="88"/>
      <c r="E54" s="88"/>
      <c r="F54" s="88"/>
      <c r="G54" s="88"/>
      <c r="H54" s="88"/>
      <c r="I54" s="88"/>
      <c r="J54" s="88"/>
      <c r="K54" s="99"/>
      <c r="L54" s="88"/>
      <c r="M54" s="88"/>
      <c r="N54" s="88"/>
      <c r="O54" s="88"/>
    </row>
    <row r="55" spans="1:15" customHeight="1" ht="20.25" s="89" customFormat="1">
      <c r="A55" s="89" t="inlineStr">
        <is>
          <r>
            <t xml:space="preserve">진위확인(정부24 앱 또는 스캐너용 문서확인 프로그램)을 하실수 있습니다.</t>
          </r>
        </is>
      </c>
      <c r="B55" s="89"/>
      <c r="C55" s="89"/>
      <c r="D55" s="89"/>
      <c r="E55" s="89"/>
      <c r="F55" s="89"/>
      <c r="G55" s="89"/>
      <c r="H55" s="89"/>
      <c r="I55" s="89"/>
      <c r="J55" s="89"/>
      <c r="K55" s="89"/>
      <c r="L55" s="89"/>
      <c r="M55" s="89"/>
      <c r="N55" s="89"/>
      <c r="O55" s="89"/>
    </row>
    <row r="56" spans="1:15">
      <c r="A56" s="244"/>
      <c r="B56" s="244"/>
      <c r="C56" s="244"/>
      <c r="D56" s="244"/>
      <c r="E56" s="244"/>
      <c r="F56" s="244"/>
      <c r="G56" s="244"/>
      <c r="H56" s="244"/>
      <c r="I56" s="244"/>
      <c r="J56" s="244"/>
      <c r="K56" s="244"/>
      <c r="L56" s="244"/>
      <c r="M56" s="244"/>
      <c r="N56" s="244"/>
      <c r="O56" s="244"/>
    </row>
  </sheetData>
  <mergeCells>
    <mergeCell ref="E14:G16"/>
    <mergeCell ref="K12:O13"/>
    <mergeCell ref="C15:D15"/>
    <mergeCell ref="A43:J43"/>
    <mergeCell ref="H17:J17"/>
    <mergeCell ref="A52:J52"/>
    <mergeCell ref="H11:J11"/>
    <mergeCell ref="A3:O3"/>
    <mergeCell ref="E24:G25"/>
    <mergeCell ref="H22:J22"/>
    <mergeCell ref="H19:J19"/>
    <mergeCell ref="A5:O5"/>
    <mergeCell ref="A24:D24"/>
    <mergeCell ref="K33:N33"/>
    <mergeCell ref="A49:J49"/>
    <mergeCell ref="A29:O29"/>
    <mergeCell ref="A38:O38"/>
    <mergeCell ref="E10:G11"/>
    <mergeCell ref="K43:O43"/>
    <mergeCell ref="A31:O31"/>
    <mergeCell ref="A40:O40"/>
    <mergeCell ref="C17:D17"/>
    <mergeCell ref="A22:B22"/>
    <mergeCell ref="A27:D27"/>
    <mergeCell ref="K9:M9"/>
    <mergeCell ref="C19:D19"/>
    <mergeCell ref="E17:G19"/>
    <mergeCell ref="H21:J21"/>
    <mergeCell ref="A35:M35"/>
    <mergeCell ref="C14:D14"/>
    <mergeCell ref="F6:G6"/>
    <mergeCell ref="E12:G13"/>
    <mergeCell ref="M6:O6"/>
    <mergeCell ref="E21:G22"/>
    <mergeCell ref="K8:M8"/>
    <mergeCell ref="A2:O2"/>
    <mergeCell ref="A42:O42"/>
    <mergeCell ref="H27:J27"/>
    <mergeCell ref="A8:B19"/>
    <mergeCell ref="K24:O25"/>
    <mergeCell ref="C8:D8"/>
    <mergeCell ref="A30:O30"/>
    <mergeCell ref="A26:D26"/>
    <mergeCell ref="A50:J50"/>
    <mergeCell ref="C18:D18"/>
    <mergeCell ref="G33:J33"/>
    <mergeCell ref="K6:L6"/>
    <mergeCell ref="A47:J47"/>
    <mergeCell ref="E26:G27"/>
    <mergeCell ref="A41:O41"/>
    <mergeCell ref="B6:E6"/>
    <mergeCell ref="H13:J13"/>
    <mergeCell ref="C22:D22"/>
    <mergeCell ref="A51:J51"/>
    <mergeCell ref="C12:D12"/>
    <mergeCell ref="A21:B21"/>
    <mergeCell ref="H24:J24"/>
    <mergeCell ref="A36:M36"/>
    <mergeCell ref="C21:D21"/>
    <mergeCell ref="H18:J18"/>
    <mergeCell ref="H8:J8"/>
    <mergeCell ref="H26:J26"/>
    <mergeCell ref="A39:O39"/>
    <mergeCell ref="H10:J10"/>
    <mergeCell ref="A37:M37"/>
    <mergeCell ref="A1:O1"/>
    <mergeCell ref="H9:J9"/>
    <mergeCell ref="K14:O16"/>
    <mergeCell ref="A53:J53"/>
    <mergeCell ref="K44:O49"/>
    <mergeCell ref="C10:D10"/>
    <mergeCell ref="C16:D16"/>
    <mergeCell ref="A48:J48"/>
    <mergeCell ref="H12:J12"/>
    <mergeCell ref="K10:O11"/>
    <mergeCell ref="C9:D9"/>
    <mergeCell ref="A4:O4"/>
    <mergeCell ref="K52:O52"/>
    <mergeCell ref="C11:D11"/>
    <mergeCell ref="A25:D25"/>
    <mergeCell ref="K21:O22"/>
    <mergeCell ref="H14:J16"/>
    <mergeCell ref="A46:J46"/>
    <mergeCell ref="K17:O19"/>
    <mergeCell ref="K53:O53"/>
    <mergeCell ref="K50:O51"/>
    <mergeCell ref="C13:D13"/>
    <mergeCell ref="H25:J25"/>
    <mergeCell ref="G34:K34"/>
    <mergeCell ref="E8:G8"/>
    <mergeCell ref="E9:G9"/>
  </mergeCells>
  <printOptions gridLines="false" gridLinesSet="true" horizontalCentered="true"/>
  <pageMargins left="0.31496062992126" right="0.23622047244094" top="0.45" bottom="0.51181102362205" header="0.31496062992126" footer="0.31496062992126"/>
  <pageSetup paperSize="9" orientation="portrait" scale="56"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D99694"/>
    <outlinePr summaryBelow="1" summaryRight="1"/>
    <pageSetUpPr fitToPage="1"/>
  </sheetPr>
  <dimension ref="A1:J40"/>
  <sheetViews>
    <sheetView tabSelected="0" workbookViewId="0" zoomScale="90" zoomScaleNormal="90" showGridLines="true" showRowColHeaders="1">
      <selection activeCell="H32" sqref="H32"/>
    </sheetView>
  </sheetViews>
  <sheetFormatPr defaultRowHeight="14.4" outlineLevelRow="0" outlineLevelCol="0"/>
  <cols>
    <col min="1" max="1" width="4.25" customWidth="true" style="244"/>
    <col min="2" max="2" width="21.625" customWidth="true" style="244"/>
    <col min="3" max="3" width="7.5" customWidth="true" style="244"/>
    <col min="4" max="4" width="23.625" customWidth="true" style="244"/>
    <col min="5" max="5" width="7.75" customWidth="true" style="244"/>
    <col min="6" max="6" width="2.125" customWidth="true" style="244"/>
    <col min="7" max="7" width="12.25" customWidth="true" style="244"/>
    <col min="8" max="8" width="13.75" customWidth="true" style="244"/>
    <col min="9" max="9" width="13.25" customWidth="true" style="244"/>
  </cols>
  <sheetData>
    <row r="1" spans="1:10" customHeight="1" ht="47.25" s="244" customFormat="1">
      <c r="A1" s="340" t="inlineStr">
        <is>
          <r>
            <t xml:space="preserve">COMMERCIAL INVOICE</t>
          </r>
        </is>
      </c>
      <c r="B1" s="253"/>
      <c r="C1" s="253"/>
      <c r="D1" s="253"/>
      <c r="E1" s="253"/>
      <c r="F1" s="253"/>
      <c r="G1" s="253"/>
      <c r="H1" s="253"/>
      <c r="I1" s="254"/>
      <c r="J1" s="244"/>
    </row>
    <row r="2" spans="1:10" customHeight="1" ht="18" s="244" customFormat="1">
      <c r="A2" s="341" t="inlineStr">
        <is>
          <r>
            <t xml:space="preserve">1) Shipper / Exporter</t>
          </r>
        </is>
      </c>
      <c r="B2" s="249"/>
      <c r="C2" s="249"/>
      <c r="D2" s="250"/>
      <c r="E2" s="223" t="inlineStr">
        <is>
          <r>
            <t xml:space="preserve">Reference No.      DFSU6646075</t>
          </r>
        </is>
      </c>
      <c r="F2" s="249"/>
      <c r="G2" s="128" t="str">
        <f>구매리스트!B12</f>
        <v>0</v>
      </c>
      <c r="H2" s="342" t="inlineStr">
        <is>
          <r>
            <t xml:space="preserve">ORIGINAL</t>
          </r>
        </is>
      </c>
      <c r="I2" s="250"/>
      <c r="J2" s="244"/>
    </row>
    <row r="3" spans="1:10" customHeight="1" ht="18" s="244" customFormat="1">
      <c r="A3" s="343" t="s">
        <v>311</v>
      </c>
      <c r="B3" s="244"/>
      <c r="C3" s="244"/>
      <c r="D3" s="261"/>
      <c r="E3" s="227" t="inlineStr">
        <is>
          <r>
            <t xml:space="preserve">Reference code.   DFSU6646075</t>
          </r>
        </is>
      </c>
      <c r="F3" s="244"/>
      <c r="G3" s="129" t="str">
        <f>구매리스트!B12</f>
        <v>0</v>
      </c>
      <c r="H3" s="271"/>
      <c r="I3" s="252"/>
      <c r="J3" s="244"/>
    </row>
    <row r="4" spans="1:10" customHeight="1" ht="18" s="244" customFormat="1">
      <c r="A4" s="270"/>
      <c r="B4" s="244"/>
      <c r="C4" s="244"/>
      <c r="D4" s="261"/>
      <c r="E4" s="344" t="inlineStr">
        <is>
          <r>
            <t xml:space="preserve">CERTIFICATE OF ORIGIN</t>
          </r>
        </is>
      </c>
      <c r="F4" s="244"/>
      <c r="G4" s="244"/>
      <c r="H4" s="244"/>
      <c r="I4" s="261"/>
      <c r="J4" s="244"/>
    </row>
    <row r="5" spans="1:10" customHeight="1" ht="18" s="244" customFormat="1">
      <c r="A5" s="270"/>
      <c r="B5" s="244"/>
      <c r="C5" s="244"/>
      <c r="D5" s="261"/>
      <c r="E5" s="270"/>
      <c r="F5" s="244"/>
      <c r="G5" s="244"/>
      <c r="H5" s="244"/>
      <c r="I5" s="261"/>
      <c r="J5" s="244"/>
    </row>
    <row r="6" spans="1:10" customHeight="1" ht="18" s="244" customFormat="1">
      <c r="A6" s="270"/>
      <c r="B6" s="244"/>
      <c r="C6" s="244"/>
      <c r="D6" s="261"/>
      <c r="E6" s="345" t="inlineStr">
        <is>
          <r>
            <t xml:space="preserve">Issued by</t>
          </r>
        </is>
      </c>
      <c r="F6" s="244"/>
      <c r="G6" s="244"/>
      <c r="H6" s="244"/>
      <c r="I6" s="261"/>
      <c r="J6" s="244"/>
    </row>
    <row r="7" spans="1:10" customHeight="1" ht="18" s="244" customFormat="1">
      <c r="A7" s="271"/>
      <c r="B7" s="251"/>
      <c r="C7" s="251"/>
      <c r="D7" s="252"/>
      <c r="E7" s="345" t="inlineStr">
        <is>
          <r>
            <t xml:space="preserve">THE KOREA CHAMBER OF COMMERCE &amp; INDUSTRY</t>
          </r>
        </is>
      </c>
      <c r="F7" s="244"/>
      <c r="G7" s="244"/>
      <c r="H7" s="244"/>
      <c r="I7" s="261"/>
      <c r="J7" s="244"/>
    </row>
    <row r="8" spans="1:10" customHeight="1" ht="18" s="244" customFormat="1">
      <c r="A8" s="341" t="inlineStr">
        <is>
          <r>
            <t xml:space="preserve">2) For account &amp; risk of Messers.</t>
          </r>
        </is>
      </c>
      <c r="B8" s="249"/>
      <c r="C8" s="249"/>
      <c r="D8" s="250"/>
      <c r="E8" s="346" t="inlineStr">
        <is>
          <r>
            <t xml:space="preserve">Seoul, Republic of korea</t>
          </r>
        </is>
      </c>
      <c r="F8" s="251"/>
      <c r="G8" s="251"/>
      <c r="H8" s="251"/>
      <c r="I8" s="252"/>
      <c r="J8" s="244"/>
    </row>
    <row r="9" spans="1:10" customHeight="1" ht="65.25" s="244" customFormat="1">
      <c r="A9" s="347" t="str">
        <f>구매리스트!B14</f>
        <v>0</v>
      </c>
      <c r="B9" s="244"/>
      <c r="C9" s="244"/>
      <c r="D9" s="261"/>
      <c r="E9" s="233" t="inlineStr">
        <is>
          <r>
            <t xml:space="preserve"> *Remark</t>
          </r>
        </is>
      </c>
      <c r="F9" s="249"/>
      <c r="G9" s="249"/>
      <c r="H9" s="249"/>
      <c r="I9" s="250"/>
      <c r="J9" s="244" t="inlineStr">
        <is>
          <r>
            <t xml:space="preserve"> </t>
          </r>
        </is>
      </c>
    </row>
    <row r="10" spans="1:10" customHeight="1" ht="18" s="244" customFormat="1">
      <c r="A10" s="270"/>
      <c r="B10" s="244"/>
      <c r="C10" s="244"/>
      <c r="D10" s="261"/>
      <c r="E10" s="224" t="inlineStr">
        <is>
          <r>
            <t xml:space="preserve">8) No. &amp; date of invoice</t>
          </r>
        </is>
      </c>
      <c r="F10" s="249"/>
      <c r="G10" s="249"/>
      <c r="H10" s="249"/>
      <c r="I10" s="250"/>
      <c r="J10" s="244"/>
    </row>
    <row r="11" spans="1:10" customHeight="1" ht="35.25" s="244" customFormat="1">
      <c r="A11" s="271"/>
      <c r="B11" s="251"/>
      <c r="C11" s="251"/>
      <c r="D11" s="252"/>
      <c r="E11" s="225" t="str">
        <f>구매리스트!B3</f>
        <v>0</v>
      </c>
      <c r="F11" s="244"/>
      <c r="G11" s="244"/>
      <c r="H11" s="244"/>
      <c r="I11" s="53" t="str">
        <f>TODAY()</f>
        <v>0</v>
      </c>
      <c r="J11" s="244"/>
    </row>
    <row r="12" spans="1:10" customHeight="1" ht="18" s="244" customFormat="1">
      <c r="A12" s="341" t="inlineStr">
        <is>
          <r>
            <t xml:space="preserve">3) Notify party</t>
          </r>
        </is>
      </c>
      <c r="B12" s="249"/>
      <c r="C12" s="249"/>
      <c r="D12" s="250"/>
      <c r="E12" s="341" t="inlineStr">
        <is>
          <r>
            <t xml:space="preserve">9) No. &amp; date of L/C</t>
          </r>
        </is>
      </c>
      <c r="F12" s="249"/>
      <c r="G12" s="249"/>
      <c r="H12" s="249"/>
      <c r="I12" s="250"/>
      <c r="J12" s="244"/>
    </row>
    <row r="13" spans="1:10" customHeight="1" ht="18" s="244" customFormat="1">
      <c r="A13" s="348" t="inlineStr">
        <is>
          <r>
            <t xml:space="preserve">SAME AS ABOVE</t>
          </r>
        </is>
      </c>
      <c r="B13" s="244"/>
      <c r="C13" s="244"/>
      <c r="D13" s="261"/>
      <c r="E13" s="228" t="inlineStr">
        <is>
          <r>
            <t xml:space="preserve">TTR BASE</t>
          </r>
        </is>
      </c>
      <c r="F13" s="244"/>
      <c r="G13" s="244"/>
      <c r="H13" s="244"/>
      <c r="I13" s="261"/>
      <c r="J13" s="244"/>
    </row>
    <row r="14" spans="1:10" customHeight="1" ht="9.75" s="244" customFormat="1">
      <c r="A14" s="271"/>
      <c r="B14" s="251"/>
      <c r="C14" s="251"/>
      <c r="D14" s="252"/>
      <c r="E14" s="251"/>
      <c r="F14" s="251"/>
      <c r="G14" s="251"/>
      <c r="H14" s="251"/>
      <c r="I14" s="252"/>
      <c r="J14" s="244"/>
    </row>
    <row r="15" spans="1:10" customHeight="1" ht="16.5" s="244" customFormat="1">
      <c r="A15" s="341" t="inlineStr">
        <is>
          <r>
            <t xml:space="preserve">4) Port of loading</t>
          </r>
        </is>
      </c>
      <c r="B15" s="250"/>
      <c r="C15" s="224" t="inlineStr">
        <is>
          <r>
            <t xml:space="preserve">5) Final Destination</t>
          </r>
        </is>
      </c>
      <c r="D15" s="250"/>
      <c r="E15" s="224" t="inlineStr">
        <is>
          <r>
            <t xml:space="preserve">10) L/C issuing bank</t>
          </r>
        </is>
      </c>
      <c r="F15" s="249"/>
      <c r="G15" s="249"/>
      <c r="H15" s="249"/>
      <c r="I15" s="250"/>
      <c r="J15" s="244"/>
    </row>
    <row r="16" spans="1:10" customHeight="1" ht="24" s="244" customFormat="1">
      <c r="A16" s="230" t="str">
        <f>구매리스트!B10</f>
        <v>0</v>
      </c>
      <c r="B16" s="251"/>
      <c r="C16" s="349" t="str">
        <f>구매리스트!D10</f>
        <v>0</v>
      </c>
      <c r="D16" s="252"/>
      <c r="E16" s="350" t="inlineStr">
        <is>
          <r>
            <t xml:space="preserve"> </t>
          </r>
        </is>
      </c>
      <c r="F16" s="244"/>
      <c r="G16" s="244"/>
      <c r="H16" s="244"/>
      <c r="I16" s="261"/>
      <c r="J16" s="244"/>
    </row>
    <row r="17" spans="1:10" customHeight="1" ht="16.5" s="244" customFormat="1">
      <c r="A17" s="341" t="inlineStr">
        <is>
          <r>
            <t xml:space="preserve">6) Vessel name</t>
          </r>
        </is>
      </c>
      <c r="B17" s="250"/>
      <c r="C17" s="224" t="inlineStr">
        <is>
          <r>
            <t xml:space="preserve">7) Sailing on or about</t>
          </r>
        </is>
      </c>
      <c r="D17" s="250"/>
      <c r="E17" s="351" t="str">
        <f>구매리스트!D12</f>
        <v>0</v>
      </c>
      <c r="F17" s="249"/>
      <c r="G17" s="249"/>
      <c r="H17" s="249"/>
      <c r="I17" s="250"/>
      <c r="J17" s="244"/>
    </row>
    <row r="18" spans="1:10" customHeight="1" ht="24" s="244" customFormat="1">
      <c r="A18" s="349" t="str">
        <f>구매리스트!B11</f>
        <v>0</v>
      </c>
      <c r="B18" s="252"/>
      <c r="C18" s="352" t="str">
        <f>구매리스트!D11</f>
        <v>0</v>
      </c>
      <c r="D18" s="252"/>
      <c r="E18" s="271"/>
      <c r="F18" s="251"/>
      <c r="G18" s="251"/>
      <c r="H18" s="251"/>
      <c r="I18" s="252"/>
      <c r="J18" s="244"/>
    </row>
    <row r="19" spans="1:10" customHeight="1" ht="27" s="244" customFormat="1">
      <c r="A19" s="22" t="inlineStr">
        <is>
          <r>
            <t xml:space="preserve">11) MARKS AND NUMBERS OF PKGS</t>
          </r>
        </is>
      </c>
      <c r="B19" s="25"/>
      <c r="C19" s="25" t="inlineStr">
        <is>
          <r>
            <t xml:space="preserve">12) Description of Goods</t>
          </r>
        </is>
      </c>
      <c r="D19" s="26"/>
      <c r="E19" s="353" t="inlineStr">
        <is>
          <r>
            <t xml:space="preserve">13) Quantity</t>
          </r>
        </is>
      </c>
      <c r="F19" s="254"/>
      <c r="G19" s="22" t="inlineStr">
        <is>
          <r>
            <t xml:space="preserve">14) Unit price</t>
          </r>
        </is>
      </c>
      <c r="H19" s="22" t="inlineStr">
        <is>
          <r>
            <t xml:space="preserve">15) Amount</t>
          </r>
        </is>
      </c>
      <c r="I19" s="107" t="inlineStr">
        <is>
          <r>
            <t xml:space="preserve">16) DISPLACE-MENT(cc)</t>
          </r>
        </is>
      </c>
      <c r="J19" s="244"/>
    </row>
    <row r="20" spans="1:10" customHeight="1" ht="10.5" s="244" customFormat="1">
      <c r="A20" s="30"/>
      <c r="B20" s="31"/>
      <c r="C20" s="31"/>
      <c r="D20" s="31"/>
      <c r="E20" s="31"/>
      <c r="F20" s="31"/>
      <c r="G20" s="31"/>
      <c r="H20" s="31"/>
      <c r="I20" s="32"/>
      <c r="J20" s="244"/>
    </row>
    <row r="21" spans="1:10" customHeight="1" ht="27" s="244" customFormat="1">
      <c r="A21" s="36" t="inlineStr">
        <is>
          <r>
            <t xml:space="preserve">NO.</t>
          </r>
        </is>
      </c>
      <c r="B21" s="37" t="inlineStr">
        <is>
          <r>
            <t xml:space="preserve">Commodity</t>
          </r>
        </is>
      </c>
      <c r="C21" s="37" t="inlineStr">
        <is>
          <r>
            <t xml:space="preserve">Year</t>
          </r>
        </is>
      </c>
      <c r="D21" s="37" t="inlineStr">
        <is>
          <r>
            <t xml:space="preserve">Chassis No.</t>
          </r>
        </is>
      </c>
      <c r="E21" s="354" t="inlineStr">
        <is>
          <r>
            <t xml:space="preserve">Q'TY</t>
          </r>
        </is>
      </c>
      <c r="F21" s="254"/>
      <c r="G21" s="355" t="inlineStr">
        <is>
          <r>
            <t xml:space="preserve">Unit Price</t>
          </r>
        </is>
      </c>
      <c r="H21" s="356" t="inlineStr">
        <is>
          <r>
            <t xml:space="preserve">AMOUNT</t>
          </r>
        </is>
      </c>
      <c r="I21" s="357" t="inlineStr">
        <is>
          <r>
            <t xml:space="preserve">Shipping</t>
          </r>
        </is>
      </c>
      <c r="J21" s="18"/>
    </row>
    <row r="22" spans="1:10" customHeight="1" ht="27" s="244" customFormat="1">
      <c r="A22" s="358">
        <v>1</v>
      </c>
      <c r="B22" s="123" t="str">
        <f>구매리스트!B5</f>
        <v>0</v>
      </c>
      <c r="C22" s="124" t="str">
        <f>구매리스트!D6</f>
        <v>0</v>
      </c>
      <c r="D22" s="125" t="str">
        <f>구매리스트!D5</f>
        <v>0</v>
      </c>
      <c r="E22" s="395">
        <v>1</v>
      </c>
      <c r="F22" s="254"/>
      <c r="G22" s="126" t="str">
        <f>구매리스트!B15</f>
        <v>0</v>
      </c>
      <c r="H22" s="126" t="str">
        <f>SUM(G22)</f>
        <v>0</v>
      </c>
      <c r="I22" s="127" t="str">
        <f>구매리스트!D15</f>
        <v>0</v>
      </c>
      <c r="J22" s="23" t="str">
        <f>SUM(H22:I22)</f>
        <v>0</v>
      </c>
    </row>
    <row r="23" spans="1:10" customHeight="1" ht="36" s="244" customFormat="1">
      <c r="A23" s="361"/>
      <c r="B23" s="362"/>
      <c r="C23" s="253"/>
      <c r="D23" s="253"/>
      <c r="E23" s="253"/>
      <c r="F23" s="253"/>
      <c r="G23" s="253"/>
      <c r="H23" s="253"/>
      <c r="I23" s="254"/>
      <c r="J23" s="360"/>
    </row>
    <row r="24" spans="1:10" customHeight="1" ht="27" s="244" customFormat="1">
      <c r="A24" s="361">
        <v>2</v>
      </c>
      <c r="B24" s="363" t="inlineStr">
        <is>
          <r>
            <t xml:space="preserve"> </t>
          </r>
        </is>
      </c>
      <c r="C24" s="19" t="inlineStr">
        <is>
          <r>
            <t xml:space="preserve"> </t>
          </r>
        </is>
      </c>
      <c r="D24" s="20" t="inlineStr">
        <is>
          <r>
            <t xml:space="preserve"> </t>
          </r>
        </is>
      </c>
      <c r="E24" s="364"/>
      <c r="F24" s="254"/>
      <c r="G24" s="365" t="inlineStr">
        <is>
          <r>
            <t xml:space="preserve"> </t>
          </r>
        </is>
      </c>
      <c r="H24" s="24" t="inlineStr">
        <is>
          <r>
            <t xml:space="preserve"> </t>
          </r>
        </is>
      </c>
      <c r="I24" s="366" t="inlineStr">
        <is>
          <r>
            <t xml:space="preserve"> </t>
          </r>
        </is>
      </c>
      <c r="J24" s="360">
        <v>0</v>
      </c>
    </row>
    <row r="25" spans="1:10" customHeight="1" ht="36" s="244" customFormat="1">
      <c r="A25" s="361"/>
      <c r="B25" s="362" t="inlineStr">
        <is>
          <r>
            <t xml:space="preserve"> </t>
          </r>
        </is>
      </c>
      <c r="C25" s="253"/>
      <c r="D25" s="253"/>
      <c r="E25" s="253"/>
      <c r="F25" s="253"/>
      <c r="G25" s="253"/>
      <c r="H25" s="253"/>
      <c r="I25" s="254"/>
      <c r="J25" s="360"/>
    </row>
    <row r="26" spans="1:10" customHeight="1" ht="27" s="244" customFormat="1">
      <c r="A26" s="361">
        <v>3</v>
      </c>
      <c r="B26" s="363" t="inlineStr">
        <is>
          <r>
            <t xml:space="preserve"> </t>
          </r>
        </is>
      </c>
      <c r="C26" s="19" t="inlineStr">
        <is>
          <r>
            <t xml:space="preserve"> </t>
          </r>
        </is>
      </c>
      <c r="D26" s="110" t="inlineStr">
        <is>
          <r>
            <t xml:space="preserve"> </t>
          </r>
        </is>
      </c>
      <c r="E26" s="364"/>
      <c r="F26" s="254"/>
      <c r="G26" s="365" t="inlineStr">
        <is>
          <r>
            <t xml:space="preserve"> </t>
          </r>
        </is>
      </c>
      <c r="H26" s="24" t="inlineStr">
        <is>
          <r>
            <t xml:space="preserve"> </t>
          </r>
        </is>
      </c>
      <c r="I26" s="366" t="inlineStr">
        <is>
          <r>
            <t xml:space="preserve"> </t>
          </r>
        </is>
      </c>
      <c r="J26" s="360">
        <v>0</v>
      </c>
    </row>
    <row r="27" spans="1:10" customHeight="1" ht="36" s="244" customFormat="1">
      <c r="A27" s="361"/>
      <c r="B27" s="362" t="inlineStr">
        <is>
          <r>
            <t xml:space="preserve"> </t>
          </r>
        </is>
      </c>
      <c r="C27" s="253"/>
      <c r="D27" s="253"/>
      <c r="E27" s="253"/>
      <c r="F27" s="253"/>
      <c r="G27" s="253"/>
      <c r="H27" s="253"/>
      <c r="I27" s="254"/>
      <c r="J27" s="360"/>
    </row>
    <row r="28" spans="1:10" customHeight="1" ht="27" s="244" customFormat="1">
      <c r="A28" s="361">
        <v>4</v>
      </c>
      <c r="B28" s="367" t="inlineStr">
        <is>
          <r>
            <t xml:space="preserve"> </t>
          </r>
        </is>
      </c>
      <c r="C28" s="19" t="inlineStr">
        <is>
          <r>
            <t xml:space="preserve"> </t>
          </r>
        </is>
      </c>
      <c r="D28" s="21" t="inlineStr">
        <is>
          <r>
            <t xml:space="preserve"> </t>
          </r>
        </is>
      </c>
      <c r="E28" s="364"/>
      <c r="F28" s="254"/>
      <c r="G28" s="365" t="inlineStr">
        <is>
          <r>
            <t xml:space="preserve"> </t>
          </r>
        </is>
      </c>
      <c r="H28" s="24" t="inlineStr">
        <is>
          <r>
            <t xml:space="preserve"> </t>
          </r>
        </is>
      </c>
      <c r="I28" s="366" t="inlineStr">
        <is>
          <r>
            <t xml:space="preserve"> </t>
          </r>
        </is>
      </c>
      <c r="J28" s="360">
        <v>0</v>
      </c>
    </row>
    <row r="29" spans="1:10" customHeight="1" ht="36" s="244" customFormat="1">
      <c r="A29" s="361" t="inlineStr">
        <is>
          <r>
            <t xml:space="preserve"> </t>
          </r>
        </is>
      </c>
      <c r="B29" s="362" t="inlineStr">
        <is>
          <r>
            <t xml:space="preserve"> </t>
          </r>
        </is>
      </c>
      <c r="C29" s="253"/>
      <c r="D29" s="253"/>
      <c r="E29" s="253"/>
      <c r="F29" s="253"/>
      <c r="G29" s="253"/>
      <c r="H29" s="253"/>
      <c r="I29" s="254"/>
      <c r="J29" s="18"/>
    </row>
    <row r="30" spans="1:10" customHeight="1" ht="27" s="244" customFormat="1">
      <c r="A30" s="361">
        <v>5</v>
      </c>
      <c r="B30" s="367" t="inlineStr">
        <is>
          <r>
            <t xml:space="preserve"> </t>
          </r>
        </is>
      </c>
      <c r="C30" s="19" t="inlineStr">
        <is>
          <r>
            <t xml:space="preserve"> </t>
          </r>
        </is>
      </c>
      <c r="D30" s="21" t="inlineStr">
        <is>
          <r>
            <t xml:space="preserve"> </t>
          </r>
        </is>
      </c>
      <c r="E30" s="364"/>
      <c r="F30" s="254"/>
      <c r="G30" s="365" t="inlineStr">
        <is>
          <r>
            <t xml:space="preserve"> </t>
          </r>
        </is>
      </c>
      <c r="H30" s="24" t="inlineStr">
        <is>
          <r>
            <t xml:space="preserve"> </t>
          </r>
        </is>
      </c>
      <c r="I30" s="366" t="inlineStr">
        <is>
          <r>
            <t xml:space="preserve"> </t>
          </r>
        </is>
      </c>
      <c r="J30" s="18"/>
    </row>
    <row r="31" spans="1:10" customHeight="1" ht="36" s="244" customFormat="1">
      <c r="A31" s="361" t="inlineStr">
        <is>
          <r>
            <t xml:space="preserve"> </t>
          </r>
        </is>
      </c>
      <c r="B31" s="362" t="inlineStr">
        <is>
          <r>
            <t xml:space="preserve"> </t>
          </r>
        </is>
      </c>
      <c r="C31" s="253"/>
      <c r="D31" s="253"/>
      <c r="E31" s="253"/>
      <c r="F31" s="253"/>
      <c r="G31" s="253"/>
      <c r="H31" s="253"/>
      <c r="I31" s="254"/>
      <c r="J31" s="18"/>
    </row>
    <row r="32" spans="1:10" customHeight="1" ht="39.75" s="244" customFormat="1">
      <c r="A32" s="27"/>
      <c r="B32" s="231" t="inlineStr">
        <is>
          <r>
            <t xml:space="preserve"> </t>
          </r>
        </is>
      </c>
      <c r="C32" s="368"/>
      <c r="D32" s="232" t="inlineStr">
        <is>
          <r>
            <t xml:space="preserve"> GRAND TOTAL :</t>
          </r>
        </is>
      </c>
      <c r="E32" s="368"/>
      <c r="F32" s="232"/>
      <c r="G32" s="232"/>
      <c r="H32" s="226" t="str">
        <f>SUM(H22:I22,H24:I24,H26:I26,H28:I28,H30:I30)</f>
        <v>0</v>
      </c>
      <c r="I32" s="369"/>
      <c r="J32" s="18"/>
    </row>
    <row r="33" spans="1:10">
      <c r="A33" s="28"/>
      <c r="B33" s="229"/>
      <c r="C33" s="229"/>
      <c r="D33" s="229" t="inlineStr">
        <is>
          <r>
            <t xml:space="preserve"> </t>
          </r>
        </is>
      </c>
      <c r="E33" s="229" t="inlineStr">
        <is>
          <r>
            <t xml:space="preserve"> </t>
          </r>
        </is>
      </c>
      <c r="F33" s="244"/>
      <c r="G33" s="244"/>
      <c r="H33" s="244"/>
      <c r="I33" s="29"/>
      <c r="J33" s="18"/>
    </row>
    <row r="34" spans="1:10">
      <c r="A34" s="30" t="inlineStr">
        <is>
          <r>
            <t xml:space="preserve">Telephone No : 82- 10 - 9009 - 9977</t>
          </r>
        </is>
      </c>
      <c r="B34" s="31"/>
      <c r="C34" s="31"/>
      <c r="D34" s="31"/>
      <c r="E34" s="229" t="inlineStr">
        <is>
          <r>
            <t xml:space="preserve">Signed By    </t>
          </r>
        </is>
      </c>
      <c r="F34" s="244"/>
      <c r="G34" s="244"/>
      <c r="H34" s="244"/>
      <c r="I34" s="32"/>
      <c r="J34"/>
    </row>
    <row r="35" spans="1:10">
      <c r="A35" s="30" t="inlineStr">
        <is>
          <r>
            <t xml:space="preserve">Fax No          : 82- 505 - 366 - 9977</t>
          </r>
        </is>
      </c>
      <c r="B35" s="31"/>
      <c r="C35" s="31"/>
      <c r="D35" s="31"/>
      <c r="E35" s="31"/>
      <c r="F35" s="31"/>
      <c r="G35" s="31"/>
      <c r="H35" s="31"/>
      <c r="I35" s="32"/>
      <c r="J35"/>
    </row>
    <row r="36" spans="1:10">
      <c r="A36" s="30"/>
      <c r="B36" s="31"/>
      <c r="C36" s="31"/>
      <c r="D36" s="31"/>
      <c r="E36" s="31"/>
      <c r="F36" s="31"/>
      <c r="G36" s="31"/>
      <c r="H36" s="31"/>
      <c r="I36" s="32"/>
      <c r="J36"/>
    </row>
    <row r="37" spans="1:10">
      <c r="A37" s="30"/>
      <c r="B37" s="31"/>
      <c r="C37" s="31"/>
      <c r="D37" s="31"/>
      <c r="E37" s="31"/>
      <c r="F37" s="31"/>
      <c r="G37" s="31"/>
      <c r="H37" s="31"/>
      <c r="I37" s="32"/>
      <c r="J37"/>
    </row>
    <row r="38" spans="1:10">
      <c r="A38" s="30"/>
      <c r="B38" s="31"/>
      <c r="C38" s="31"/>
      <c r="D38" s="31"/>
      <c r="E38" s="31"/>
      <c r="F38" s="31"/>
      <c r="G38" s="31"/>
      <c r="H38" s="31"/>
      <c r="I38" s="32"/>
      <c r="J38"/>
    </row>
    <row r="39" spans="1:10">
      <c r="A39" s="30"/>
      <c r="B39" s="31"/>
      <c r="C39" s="31"/>
      <c r="D39" s="31"/>
      <c r="E39" s="31"/>
      <c r="F39" s="31"/>
      <c r="G39" s="31"/>
      <c r="H39" s="31"/>
      <c r="I39" s="32"/>
      <c r="J39"/>
    </row>
    <row r="40" spans="1:10">
      <c r="A40" s="33"/>
      <c r="B40" s="34"/>
      <c r="C40" s="34"/>
      <c r="D40" s="34"/>
      <c r="E40" s="34"/>
      <c r="F40" s="34"/>
      <c r="G40" s="34"/>
      <c r="H40" s="34"/>
      <c r="I40" s="35"/>
      <c r="J40"/>
    </row>
  </sheetData>
  <mergeCells>
    <mergeCell ref="E12:I12"/>
    <mergeCell ref="A8:D8"/>
    <mergeCell ref="A15:B15"/>
    <mergeCell ref="C15:D15"/>
    <mergeCell ref="B25:I25"/>
    <mergeCell ref="E24:F24"/>
    <mergeCell ref="B31:I31"/>
    <mergeCell ref="B27:I27"/>
    <mergeCell ref="E8:I8"/>
    <mergeCell ref="A16:B16"/>
    <mergeCell ref="C16:D16"/>
    <mergeCell ref="E10:I10"/>
    <mergeCell ref="E19:F19"/>
    <mergeCell ref="E28:F28"/>
    <mergeCell ref="D32:E32"/>
    <mergeCell ref="E33:H33"/>
    <mergeCell ref="A18:B18"/>
    <mergeCell ref="A9:D11"/>
    <mergeCell ref="B23:I23"/>
    <mergeCell ref="E9:I9"/>
    <mergeCell ref="E15:I15"/>
    <mergeCell ref="E30:F30"/>
    <mergeCell ref="B29:I29"/>
    <mergeCell ref="E6:I6"/>
    <mergeCell ref="H32:I32"/>
    <mergeCell ref="E2:F2"/>
    <mergeCell ref="A13:D14"/>
    <mergeCell ref="A17:B17"/>
    <mergeCell ref="E26:F26"/>
    <mergeCell ref="C17:D17"/>
    <mergeCell ref="E17:I18"/>
    <mergeCell ref="E13:I14"/>
    <mergeCell ref="E7:I7"/>
    <mergeCell ref="E4:I5"/>
    <mergeCell ref="A12:D12"/>
    <mergeCell ref="E34:H34"/>
    <mergeCell ref="E16:I16"/>
    <mergeCell ref="H2:I3"/>
    <mergeCell ref="A1:I1"/>
    <mergeCell ref="A3:D7"/>
    <mergeCell ref="B32:C32"/>
    <mergeCell ref="E22:F22"/>
    <mergeCell ref="A2:D2"/>
    <mergeCell ref="C18:D18"/>
    <mergeCell ref="E11:H11"/>
    <mergeCell ref="E3:F3"/>
    <mergeCell ref="E21:F21"/>
  </mergeCells>
  <printOptions gridLines="false" gridLinesSet="true" horizontalCentered="true"/>
  <pageMargins left="0.31496062992126" right="0.2755905511811" top="0.47244094488189" bottom="0.43307086614173" header="0.31496062992126" footer="0.31496062992126"/>
  <pageSetup paperSize="9" orientation="portrait" scale="76"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D99694"/>
    <outlinePr summaryBelow="1" summaryRight="1"/>
    <pageSetUpPr fitToPage="1"/>
  </sheetPr>
  <dimension ref="A1:J40"/>
  <sheetViews>
    <sheetView tabSelected="0" workbookViewId="0" zoomScale="90" zoomScaleNormal="90" showGridLines="true" showRowColHeaders="1">
      <selection activeCell="H32" sqref="H32"/>
    </sheetView>
  </sheetViews>
  <sheetFormatPr defaultRowHeight="14.4" outlineLevelRow="0" outlineLevelCol="0"/>
  <cols>
    <col min="1" max="1" width="4.25" customWidth="true" style="244"/>
    <col min="2" max="2" width="21.625" customWidth="true" style="244"/>
    <col min="3" max="3" width="7.5" customWidth="true" style="244"/>
    <col min="4" max="4" width="23.625" customWidth="true" style="244"/>
    <col min="5" max="5" width="7.75" customWidth="true" style="244"/>
    <col min="6" max="6" width="2.125" customWidth="true" style="244"/>
    <col min="7" max="7" width="12.25" customWidth="true" style="244"/>
    <col min="8" max="8" width="13.75" customWidth="true" style="244"/>
    <col min="9" max="9" width="14" customWidth="true" style="244"/>
  </cols>
  <sheetData>
    <row r="1" spans="1:10" customHeight="1" ht="47.25" s="244" customFormat="1">
      <c r="A1" s="340" t="inlineStr">
        <is>
          <r>
            <t xml:space="preserve">COMMERCIAL PACKING LIST</t>
          </r>
        </is>
      </c>
      <c r="B1" s="253"/>
      <c r="C1" s="253"/>
      <c r="D1" s="253"/>
      <c r="E1" s="253"/>
      <c r="F1" s="253"/>
      <c r="G1" s="253"/>
      <c r="H1" s="253"/>
      <c r="I1" s="254"/>
      <c r="J1" s="244"/>
    </row>
    <row r="2" spans="1:10" customHeight="1" ht="18" s="244" customFormat="1">
      <c r="A2" s="341" t="inlineStr">
        <is>
          <r>
            <t xml:space="preserve">1) Shipper / Exporter</t>
          </r>
        </is>
      </c>
      <c r="B2" s="249"/>
      <c r="C2" s="249"/>
      <c r="D2" s="250"/>
      <c r="E2" s="223" t="inlineStr">
        <is>
          <r>
            <t xml:space="preserve">Reference No.      DFSU6646075</t>
          </r>
        </is>
      </c>
      <c r="F2" s="249"/>
      <c r="G2" s="128" t="str">
        <f>차량인보이스!G2</f>
        <v>0</v>
      </c>
      <c r="H2" s="342" t="inlineStr">
        <is>
          <r>
            <t xml:space="preserve">ORIGINAL</t>
          </r>
        </is>
      </c>
      <c r="I2" s="250"/>
      <c r="J2" s="244"/>
    </row>
    <row r="3" spans="1:10" customHeight="1" ht="18" s="244" customFormat="1">
      <c r="A3" s="343" t="s">
        <v>311</v>
      </c>
      <c r="B3" s="244"/>
      <c r="C3" s="244"/>
      <c r="D3" s="261"/>
      <c r="E3" s="227" t="inlineStr">
        <is>
          <r>
            <t xml:space="preserve">Reference code.   DFSU6646075</t>
          </r>
        </is>
      </c>
      <c r="F3" s="244"/>
      <c r="G3" s="129" t="str">
        <f>차량인보이스!G3</f>
        <v>0</v>
      </c>
      <c r="H3" s="271"/>
      <c r="I3" s="252"/>
      <c r="J3" s="244"/>
    </row>
    <row r="4" spans="1:10" customHeight="1" ht="18" s="244" customFormat="1">
      <c r="A4" s="270"/>
      <c r="B4" s="244"/>
      <c r="C4" s="244"/>
      <c r="D4" s="261"/>
      <c r="E4" s="344" t="inlineStr">
        <is>
          <r>
            <t xml:space="preserve">CERTIFICATE OF ORIGIN</t>
          </r>
        </is>
      </c>
      <c r="F4" s="244"/>
      <c r="G4" s="244"/>
      <c r="H4" s="244"/>
      <c r="I4" s="261"/>
      <c r="J4" s="244"/>
    </row>
    <row r="5" spans="1:10" customHeight="1" ht="18" s="244" customFormat="1">
      <c r="A5" s="270"/>
      <c r="B5" s="244"/>
      <c r="C5" s="244"/>
      <c r="D5" s="261"/>
      <c r="E5" s="270"/>
      <c r="F5" s="244"/>
      <c r="G5" s="244"/>
      <c r="H5" s="244"/>
      <c r="I5" s="261"/>
      <c r="J5" s="244"/>
    </row>
    <row r="6" spans="1:10" customHeight="1" ht="18" s="244" customFormat="1">
      <c r="A6" s="270"/>
      <c r="B6" s="244"/>
      <c r="C6" s="244"/>
      <c r="D6" s="261"/>
      <c r="E6" s="345" t="inlineStr">
        <is>
          <r>
            <t xml:space="preserve">Issued by</t>
          </r>
        </is>
      </c>
      <c r="F6" s="244"/>
      <c r="G6" s="244"/>
      <c r="H6" s="244"/>
      <c r="I6" s="261"/>
      <c r="J6" s="244"/>
    </row>
    <row r="7" spans="1:10" customHeight="1" ht="18" s="244" customFormat="1">
      <c r="A7" s="271"/>
      <c r="B7" s="251"/>
      <c r="C7" s="251"/>
      <c r="D7" s="252"/>
      <c r="E7" s="345" t="inlineStr">
        <is>
          <r>
            <t xml:space="preserve">THE KOREA CHAMBER OF COMMERCE &amp; INDUSTRY</t>
          </r>
        </is>
      </c>
      <c r="F7" s="244"/>
      <c r="G7" s="244"/>
      <c r="H7" s="244"/>
      <c r="I7" s="261"/>
      <c r="J7" s="244"/>
    </row>
    <row r="8" spans="1:10" customHeight="1" ht="18" s="244" customFormat="1">
      <c r="A8" s="341" t="inlineStr">
        <is>
          <r>
            <t xml:space="preserve">2) For account &amp; risk of Messers.</t>
          </r>
        </is>
      </c>
      <c r="B8" s="249"/>
      <c r="C8" s="249"/>
      <c r="D8" s="250"/>
      <c r="E8" s="346" t="inlineStr">
        <is>
          <r>
            <t xml:space="preserve">Seoul, Republic of korea</t>
          </r>
        </is>
      </c>
      <c r="F8" s="251"/>
      <c r="G8" s="251"/>
      <c r="H8" s="251"/>
      <c r="I8" s="252"/>
      <c r="J8" s="244"/>
    </row>
    <row r="9" spans="1:10" customHeight="1" ht="65.25" s="244" customFormat="1">
      <c r="A9" s="370" t="str">
        <f>차량인보이스!A9</f>
        <v>0</v>
      </c>
      <c r="B9" s="244"/>
      <c r="C9" s="244"/>
      <c r="D9" s="261"/>
      <c r="E9" s="233" t="inlineStr">
        <is>
          <r>
            <t xml:space="preserve"> *Remark</t>
          </r>
        </is>
      </c>
      <c r="F9" s="249"/>
      <c r="G9" s="249"/>
      <c r="H9" s="249"/>
      <c r="I9" s="250"/>
      <c r="J9" s="244" t="inlineStr">
        <is>
          <r>
            <t xml:space="preserve"> </t>
          </r>
        </is>
      </c>
    </row>
    <row r="10" spans="1:10" customHeight="1" ht="18" s="244" customFormat="1">
      <c r="A10" s="270"/>
      <c r="B10" s="244"/>
      <c r="C10" s="244"/>
      <c r="D10" s="261"/>
      <c r="E10" s="224" t="inlineStr">
        <is>
          <r>
            <t xml:space="preserve">8) No. &amp; date of invoice</t>
          </r>
        </is>
      </c>
      <c r="F10" s="249"/>
      <c r="G10" s="249"/>
      <c r="H10" s="249"/>
      <c r="I10" s="250"/>
      <c r="J10" s="244"/>
    </row>
    <row r="11" spans="1:10" customHeight="1" ht="35.25" s="244" customFormat="1">
      <c r="A11" s="271"/>
      <c r="B11" s="251"/>
      <c r="C11" s="251"/>
      <c r="D11" s="252"/>
      <c r="E11" s="225" t="str">
        <f>구매리스트!B3</f>
        <v>0</v>
      </c>
      <c r="F11" s="244"/>
      <c r="G11" s="244"/>
      <c r="H11" s="244"/>
      <c r="I11" s="53" t="str">
        <f>TODAY()</f>
        <v>0</v>
      </c>
      <c r="J11" s="244"/>
    </row>
    <row r="12" spans="1:10" customHeight="1" ht="18" s="244" customFormat="1">
      <c r="A12" s="341" t="inlineStr">
        <is>
          <r>
            <t xml:space="preserve">3) Notify party</t>
          </r>
        </is>
      </c>
      <c r="B12" s="249"/>
      <c r="C12" s="249"/>
      <c r="D12" s="250"/>
      <c r="E12" s="341" t="inlineStr">
        <is>
          <r>
            <t xml:space="preserve">9) No. &amp; date of L/C</t>
          </r>
        </is>
      </c>
      <c r="F12" s="249"/>
      <c r="G12" s="249"/>
      <c r="H12" s="249"/>
      <c r="I12" s="250"/>
      <c r="J12" s="244"/>
    </row>
    <row r="13" spans="1:10" customHeight="1" ht="18" s="244" customFormat="1">
      <c r="A13" s="348" t="inlineStr">
        <is>
          <r>
            <t xml:space="preserve">SAME AS ABOVE</t>
          </r>
        </is>
      </c>
      <c r="B13" s="244"/>
      <c r="C13" s="244"/>
      <c r="D13" s="261"/>
      <c r="E13" s="228" t="inlineStr">
        <is>
          <r>
            <t xml:space="preserve">TTR BASE</t>
          </r>
        </is>
      </c>
      <c r="F13" s="244"/>
      <c r="G13" s="244"/>
      <c r="H13" s="244"/>
      <c r="I13" s="261"/>
      <c r="J13" s="244"/>
    </row>
    <row r="14" spans="1:10" customHeight="1" ht="9.75" s="244" customFormat="1">
      <c r="A14" s="271"/>
      <c r="B14" s="251"/>
      <c r="C14" s="251"/>
      <c r="D14" s="252"/>
      <c r="E14" s="251"/>
      <c r="F14" s="251"/>
      <c r="G14" s="251"/>
      <c r="H14" s="251"/>
      <c r="I14" s="252"/>
      <c r="J14" s="244"/>
    </row>
    <row r="15" spans="1:10" customHeight="1" ht="16.5" s="244" customFormat="1">
      <c r="A15" s="341" t="inlineStr">
        <is>
          <r>
            <t xml:space="preserve">4) Port of loading</t>
          </r>
        </is>
      </c>
      <c r="B15" s="250"/>
      <c r="C15" s="224" t="inlineStr">
        <is>
          <r>
            <t xml:space="preserve">5) Final Destination</t>
          </r>
        </is>
      </c>
      <c r="D15" s="250"/>
      <c r="E15" s="224" t="inlineStr">
        <is>
          <r>
            <t xml:space="preserve">10) L/C issuing bank</t>
          </r>
        </is>
      </c>
      <c r="F15" s="249"/>
      <c r="G15" s="249"/>
      <c r="H15" s="249"/>
      <c r="I15" s="250"/>
      <c r="J15" s="244"/>
    </row>
    <row r="16" spans="1:10" customHeight="1" ht="24" s="244" customFormat="1">
      <c r="A16" s="230" t="str">
        <f>구매리스트!B10</f>
        <v>0</v>
      </c>
      <c r="B16" s="251"/>
      <c r="C16" s="349" t="str">
        <f>구매리스트!D10</f>
        <v>0</v>
      </c>
      <c r="D16" s="252"/>
      <c r="E16" s="350" t="inlineStr">
        <is>
          <r>
            <t xml:space="preserve"> </t>
          </r>
        </is>
      </c>
      <c r="F16" s="244"/>
      <c r="G16" s="244"/>
      <c r="H16" s="244"/>
      <c r="I16" s="261"/>
      <c r="J16" s="244"/>
    </row>
    <row r="17" spans="1:10" customHeight="1" ht="16.5" s="244" customFormat="1">
      <c r="A17" s="341" t="inlineStr">
        <is>
          <r>
            <t xml:space="preserve">6) Vessel name</t>
          </r>
        </is>
      </c>
      <c r="B17" s="250"/>
      <c r="C17" s="224" t="inlineStr">
        <is>
          <r>
            <t xml:space="preserve">7) Sailing on or about</t>
          </r>
        </is>
      </c>
      <c r="D17" s="250"/>
      <c r="E17" s="351" t="str">
        <f>차량인보이스!E17</f>
        <v>0</v>
      </c>
      <c r="F17" s="249"/>
      <c r="G17" s="249"/>
      <c r="H17" s="249"/>
      <c r="I17" s="250"/>
      <c r="J17" s="244"/>
    </row>
    <row r="18" spans="1:10" customHeight="1" ht="24" s="244" customFormat="1">
      <c r="A18" s="349" t="str">
        <f>구매리스트!B11</f>
        <v>0</v>
      </c>
      <c r="B18" s="252"/>
      <c r="C18" s="352" t="str">
        <f>구매리스트!D11</f>
        <v>0</v>
      </c>
      <c r="D18" s="252"/>
      <c r="E18" s="271"/>
      <c r="F18" s="251"/>
      <c r="G18" s="251"/>
      <c r="H18" s="251"/>
      <c r="I18" s="252"/>
      <c r="J18" s="244"/>
    </row>
    <row r="19" spans="1:10" customHeight="1" ht="27" s="244" customFormat="1">
      <c r="A19" s="22" t="inlineStr">
        <is>
          <r>
            <t xml:space="preserve">11) MARKS AND NUMBERS OF PKGS</t>
          </r>
        </is>
      </c>
      <c r="B19" s="25"/>
      <c r="C19" s="25" t="inlineStr">
        <is>
          <r>
            <t xml:space="preserve">12) Description of Goods</t>
          </r>
        </is>
      </c>
      <c r="D19" s="26"/>
      <c r="E19" s="353" t="inlineStr">
        <is>
          <r>
            <t xml:space="preserve">13) Quantity</t>
          </r>
        </is>
      </c>
      <c r="F19" s="254"/>
      <c r="G19" s="22" t="inlineStr">
        <is>
          <r>
            <t xml:space="preserve">14) Unit price</t>
          </r>
        </is>
      </c>
      <c r="H19" s="22" t="inlineStr">
        <is>
          <r>
            <t xml:space="preserve">15) Amount</t>
          </r>
        </is>
      </c>
      <c r="I19" s="22" t="inlineStr">
        <is>
          <r>
            <t xml:space="preserve">16) WEIGHT</t>
          </r>
        </is>
      </c>
      <c r="J19" s="244"/>
    </row>
    <row r="20" spans="1:10" customHeight="1" ht="10.5" s="244" customFormat="1">
      <c r="A20" s="30"/>
      <c r="B20" s="31"/>
      <c r="C20" s="31"/>
      <c r="D20" s="31"/>
      <c r="E20" s="31"/>
      <c r="F20" s="31"/>
      <c r="G20" s="31"/>
      <c r="H20" s="31"/>
      <c r="I20" s="32"/>
      <c r="J20" s="244"/>
    </row>
    <row r="21" spans="1:10" customHeight="1" ht="27" s="244" customFormat="1">
      <c r="A21" s="36" t="inlineStr">
        <is>
          <r>
            <t xml:space="preserve">NO.</t>
          </r>
        </is>
      </c>
      <c r="B21" s="37" t="inlineStr">
        <is>
          <r>
            <t xml:space="preserve">Commodity</t>
          </r>
        </is>
      </c>
      <c r="C21" s="37" t="inlineStr">
        <is>
          <r>
            <t xml:space="preserve">Year</t>
          </r>
        </is>
      </c>
      <c r="D21" s="37" t="inlineStr">
        <is>
          <r>
            <t xml:space="preserve">Chassis No.</t>
          </r>
        </is>
      </c>
      <c r="E21" s="354" t="inlineStr">
        <is>
          <r>
            <t xml:space="preserve">Q'TY</t>
          </r>
        </is>
      </c>
      <c r="F21" s="254"/>
      <c r="G21" s="355" t="inlineStr">
        <is>
          <r>
            <t xml:space="preserve">Unit Price</t>
          </r>
        </is>
      </c>
      <c r="H21" s="356" t="inlineStr">
        <is>
          <r>
            <t xml:space="preserve">AMOUNT</t>
          </r>
        </is>
      </c>
      <c r="I21" s="54" t="inlineStr">
        <is>
          <r>
            <t xml:space="preserve">Weight
(KG)</t>
          </r>
        </is>
      </c>
      <c r="J21" s="18"/>
    </row>
    <row r="22" spans="1:10" customHeight="1" ht="27" s="244" customFormat="1">
      <c r="A22" s="358">
        <v>1</v>
      </c>
      <c r="B22" s="123" t="str">
        <f>차량인보이스!B22</f>
        <v>0</v>
      </c>
      <c r="C22" s="124" t="str">
        <f>구매리스트!D6</f>
        <v>0</v>
      </c>
      <c r="D22" s="125" t="str">
        <f>차량인보이스!D22</f>
        <v>0</v>
      </c>
      <c r="E22" s="359" t="str">
        <f>차량인보이스!E22</f>
        <v>0</v>
      </c>
      <c r="F22" s="254"/>
      <c r="G22" s="371" t="inlineStr">
        <is>
          <r>
            <t xml:space="preserve"> </t>
          </r>
        </is>
      </c>
      <c r="H22" s="371" t="inlineStr">
        <is>
          <r>
            <t xml:space="preserve"> </t>
          </r>
        </is>
      </c>
      <c r="I22" s="130" t="str">
        <f>구매리스트!I8</f>
        <v>0</v>
      </c>
      <c r="J22" s="360" t="inlineStr">
        <is>
          <r>
            <t xml:space="preserve"> </t>
          </r>
        </is>
      </c>
    </row>
    <row r="23" spans="1:10" customHeight="1" ht="36" s="244" customFormat="1">
      <c r="A23" s="361"/>
      <c r="B23" s="362"/>
      <c r="C23" s="253"/>
      <c r="D23" s="253"/>
      <c r="E23" s="253"/>
      <c r="F23" s="253"/>
      <c r="G23" s="253"/>
      <c r="H23" s="253"/>
      <c r="I23" s="254"/>
      <c r="J23" s="360"/>
    </row>
    <row r="24" spans="1:10" customHeight="1" ht="27" s="244" customFormat="1">
      <c r="A24" s="361">
        <v>2</v>
      </c>
      <c r="B24" s="363" t="inlineStr">
        <is>
          <r>
            <t xml:space="preserve"> </t>
          </r>
        </is>
      </c>
      <c r="C24" s="19" t="inlineStr">
        <is>
          <r>
            <t xml:space="preserve"> </t>
          </r>
        </is>
      </c>
      <c r="D24" s="20" t="inlineStr">
        <is>
          <r>
            <t xml:space="preserve"> </t>
          </r>
        </is>
      </c>
      <c r="E24" s="364"/>
      <c r="F24" s="254"/>
      <c r="G24" s="365" t="inlineStr">
        <is>
          <r>
            <t xml:space="preserve"> </t>
          </r>
        </is>
      </c>
      <c r="H24" s="24" t="inlineStr">
        <is>
          <r>
            <t xml:space="preserve"> </t>
          </r>
        </is>
      </c>
      <c r="I24" s="366" t="inlineStr">
        <is>
          <r>
            <t xml:space="preserve"> </t>
          </r>
        </is>
      </c>
      <c r="J24" s="360" t="inlineStr">
        <is>
          <r>
            <t xml:space="preserve"> </t>
          </r>
        </is>
      </c>
    </row>
    <row r="25" spans="1:10" customHeight="1" ht="36" s="244" customFormat="1">
      <c r="A25" s="361"/>
      <c r="B25" s="362" t="inlineStr">
        <is>
          <r>
            <t xml:space="preserve"> </t>
          </r>
        </is>
      </c>
      <c r="C25" s="253"/>
      <c r="D25" s="253"/>
      <c r="E25" s="253"/>
      <c r="F25" s="253"/>
      <c r="G25" s="253"/>
      <c r="H25" s="253"/>
      <c r="I25" s="254"/>
      <c r="J25" s="360"/>
    </row>
    <row r="26" spans="1:10" customHeight="1" ht="27" s="244" customFormat="1">
      <c r="A26" s="361">
        <v>3</v>
      </c>
      <c r="B26" s="363" t="inlineStr">
        <is>
          <r>
            <t xml:space="preserve"> </t>
          </r>
        </is>
      </c>
      <c r="C26" s="19" t="inlineStr">
        <is>
          <r>
            <t xml:space="preserve"> </t>
          </r>
        </is>
      </c>
      <c r="D26" s="20" t="inlineStr">
        <is>
          <r>
            <t xml:space="preserve"> </t>
          </r>
        </is>
      </c>
      <c r="E26" s="364"/>
      <c r="F26" s="254"/>
      <c r="G26" s="365" t="inlineStr">
        <is>
          <r>
            <t xml:space="preserve"> </t>
          </r>
        </is>
      </c>
      <c r="H26" s="24" t="inlineStr">
        <is>
          <r>
            <t xml:space="preserve"> </t>
          </r>
        </is>
      </c>
      <c r="I26" s="366" t="inlineStr">
        <is>
          <r>
            <t xml:space="preserve"> </t>
          </r>
        </is>
      </c>
      <c r="J26" s="360" t="inlineStr">
        <is>
          <r>
            <t xml:space="preserve"> </t>
          </r>
        </is>
      </c>
    </row>
    <row r="27" spans="1:10" customHeight="1" ht="36" s="244" customFormat="1">
      <c r="A27" s="361"/>
      <c r="B27" s="362" t="inlineStr">
        <is>
          <r>
            <t xml:space="preserve"> </t>
          </r>
        </is>
      </c>
      <c r="C27" s="253"/>
      <c r="D27" s="253"/>
      <c r="E27" s="253"/>
      <c r="F27" s="253"/>
      <c r="G27" s="253"/>
      <c r="H27" s="253"/>
      <c r="I27" s="254"/>
      <c r="J27" s="360"/>
    </row>
    <row r="28" spans="1:10" customHeight="1" ht="27" s="244" customFormat="1">
      <c r="A28" s="361">
        <v>4</v>
      </c>
      <c r="B28" s="367" t="inlineStr">
        <is>
          <r>
            <t xml:space="preserve"> </t>
          </r>
        </is>
      </c>
      <c r="C28" s="19" t="inlineStr">
        <is>
          <r>
            <t xml:space="preserve"> </t>
          </r>
        </is>
      </c>
      <c r="D28" s="21" t="inlineStr">
        <is>
          <r>
            <t xml:space="preserve"> </t>
          </r>
        </is>
      </c>
      <c r="E28" s="364"/>
      <c r="F28" s="254"/>
      <c r="G28" s="365" t="inlineStr">
        <is>
          <r>
            <t xml:space="preserve"> </t>
          </r>
        </is>
      </c>
      <c r="H28" s="24" t="inlineStr">
        <is>
          <r>
            <t xml:space="preserve"> </t>
          </r>
        </is>
      </c>
      <c r="I28" s="366" t="inlineStr">
        <is>
          <r>
            <t xml:space="preserve"> </t>
          </r>
        </is>
      </c>
      <c r="J28" s="360" t="inlineStr">
        <is>
          <r>
            <t xml:space="preserve"> </t>
          </r>
        </is>
      </c>
    </row>
    <row r="29" spans="1:10" customHeight="1" ht="36" s="244" customFormat="1">
      <c r="A29" s="361" t="inlineStr">
        <is>
          <r>
            <t xml:space="preserve"> </t>
          </r>
        </is>
      </c>
      <c r="B29" s="362" t="inlineStr">
        <is>
          <r>
            <t xml:space="preserve"> </t>
          </r>
        </is>
      </c>
      <c r="C29" s="253"/>
      <c r="D29" s="253"/>
      <c r="E29" s="253"/>
      <c r="F29" s="253"/>
      <c r="G29" s="253"/>
      <c r="H29" s="253"/>
      <c r="I29" s="254"/>
      <c r="J29" s="18"/>
    </row>
    <row r="30" spans="1:10" customHeight="1" ht="27" s="244" customFormat="1">
      <c r="A30" s="361">
        <v>5</v>
      </c>
      <c r="B30" s="367" t="inlineStr">
        <is>
          <r>
            <t xml:space="preserve"> </t>
          </r>
        </is>
      </c>
      <c r="C30" s="19" t="inlineStr">
        <is>
          <r>
            <t xml:space="preserve"> </t>
          </r>
        </is>
      </c>
      <c r="D30" s="21" t="inlineStr">
        <is>
          <r>
            <t xml:space="preserve"> </t>
          </r>
        </is>
      </c>
      <c r="E30" s="364"/>
      <c r="F30" s="254"/>
      <c r="G30" s="365" t="inlineStr">
        <is>
          <r>
            <t xml:space="preserve"> </t>
          </r>
        </is>
      </c>
      <c r="H30" s="24" t="inlineStr">
        <is>
          <r>
            <t xml:space="preserve"> </t>
          </r>
        </is>
      </c>
      <c r="I30" s="366" t="inlineStr">
        <is>
          <r>
            <t xml:space="preserve"> </t>
          </r>
        </is>
      </c>
      <c r="J30" s="18"/>
    </row>
    <row r="31" spans="1:10" customHeight="1" ht="36" s="244" customFormat="1">
      <c r="A31" s="361" t="inlineStr">
        <is>
          <r>
            <t xml:space="preserve"> </t>
          </r>
        </is>
      </c>
      <c r="B31" s="362" t="inlineStr">
        <is>
          <r>
            <t xml:space="preserve"> </t>
          </r>
        </is>
      </c>
      <c r="C31" s="253"/>
      <c r="D31" s="253"/>
      <c r="E31" s="253"/>
      <c r="F31" s="253"/>
      <c r="G31" s="253"/>
      <c r="H31" s="253"/>
      <c r="I31" s="254"/>
      <c r="J31" s="18"/>
    </row>
    <row r="32" spans="1:10" customHeight="1" ht="39.75" s="244" customFormat="1">
      <c r="A32" s="27"/>
      <c r="B32" s="231" t="inlineStr">
        <is>
          <r>
            <t xml:space="preserve"> </t>
          </r>
        </is>
      </c>
      <c r="C32" s="368"/>
      <c r="D32" s="234" t="inlineStr">
        <is>
          <r>
            <t xml:space="preserve"> GRAND TOTAL :</t>
          </r>
        </is>
      </c>
      <c r="E32" s="368"/>
      <c r="F32" s="234"/>
      <c r="G32" s="234"/>
      <c r="H32" s="235" t="str">
        <f>SUM(I22,I24,I26,I28,I30)</f>
        <v>0</v>
      </c>
      <c r="I32" s="369"/>
      <c r="J32" s="18"/>
    </row>
    <row r="33" spans="1:10">
      <c r="A33" s="28"/>
      <c r="B33" s="229"/>
      <c r="C33" s="229"/>
      <c r="D33" s="229" t="inlineStr">
        <is>
          <r>
            <t xml:space="preserve"> </t>
          </r>
        </is>
      </c>
      <c r="E33" s="229" t="inlineStr">
        <is>
          <r>
            <t xml:space="preserve"> </t>
          </r>
        </is>
      </c>
      <c r="F33" s="244"/>
      <c r="G33" s="244"/>
      <c r="H33" s="244"/>
      <c r="I33" s="29"/>
      <c r="J33" s="18"/>
    </row>
    <row r="34" spans="1:10">
      <c r="A34" s="30" t="inlineStr">
        <is>
          <r>
            <t xml:space="preserve">Telephone No : 82- 10 - 9009 - 9977</t>
          </r>
        </is>
      </c>
      <c r="B34" s="31"/>
      <c r="C34" s="31"/>
      <c r="D34" s="31"/>
      <c r="E34" s="229" t="inlineStr">
        <is>
          <r>
            <t xml:space="preserve">Signed By    </t>
          </r>
        </is>
      </c>
      <c r="F34" s="244"/>
      <c r="G34" s="244"/>
      <c r="H34" s="244"/>
      <c r="I34" s="32"/>
      <c r="J34"/>
    </row>
    <row r="35" spans="1:10">
      <c r="A35" s="30" t="inlineStr">
        <is>
          <r>
            <t xml:space="preserve">Fax No          : 82- 505 - 366 - 9977</t>
          </r>
        </is>
      </c>
      <c r="B35" s="31"/>
      <c r="C35" s="31"/>
      <c r="D35" s="31"/>
      <c r="E35" s="31"/>
      <c r="F35" s="31"/>
      <c r="G35" s="31"/>
      <c r="H35" s="31"/>
      <c r="I35" s="32"/>
      <c r="J35"/>
    </row>
    <row r="36" spans="1:10">
      <c r="A36" s="30"/>
      <c r="B36" s="31"/>
      <c r="C36" s="31"/>
      <c r="D36" s="31"/>
      <c r="E36" s="31"/>
      <c r="F36" s="31"/>
      <c r="G36" s="31"/>
      <c r="H36" s="31"/>
      <c r="I36" s="32"/>
      <c r="J36"/>
    </row>
    <row r="37" spans="1:10">
      <c r="A37" s="30"/>
      <c r="B37" s="31"/>
      <c r="C37" s="31"/>
      <c r="D37" s="31"/>
      <c r="E37" s="31"/>
      <c r="F37" s="31"/>
      <c r="G37" s="31"/>
      <c r="H37" s="31"/>
      <c r="I37" s="32"/>
      <c r="J37"/>
    </row>
    <row r="38" spans="1:10">
      <c r="A38" s="30"/>
      <c r="B38" s="31"/>
      <c r="C38" s="31"/>
      <c r="D38" s="31"/>
      <c r="E38" s="31"/>
      <c r="F38" s="31"/>
      <c r="G38" s="31"/>
      <c r="H38" s="31"/>
      <c r="I38" s="32"/>
      <c r="J38"/>
    </row>
    <row r="39" spans="1:10">
      <c r="A39" s="30"/>
      <c r="B39" s="31"/>
      <c r="C39" s="31"/>
      <c r="D39" s="31"/>
      <c r="E39" s="31"/>
      <c r="F39" s="31"/>
      <c r="G39" s="31"/>
      <c r="H39" s="31"/>
      <c r="I39" s="32"/>
      <c r="J39"/>
    </row>
    <row r="40" spans="1:10">
      <c r="A40" s="33"/>
      <c r="B40" s="34"/>
      <c r="C40" s="34"/>
      <c r="D40" s="34"/>
      <c r="E40" s="34"/>
      <c r="F40" s="34"/>
      <c r="G40" s="34"/>
      <c r="H40" s="34"/>
      <c r="I40" s="35"/>
      <c r="J40"/>
    </row>
  </sheetData>
  <mergeCells>
    <mergeCell ref="A8:D8"/>
    <mergeCell ref="E12:I12"/>
    <mergeCell ref="A15:B15"/>
    <mergeCell ref="C15:D15"/>
    <mergeCell ref="B25:I25"/>
    <mergeCell ref="E24:F24"/>
    <mergeCell ref="B31:I31"/>
    <mergeCell ref="B27:I27"/>
    <mergeCell ref="E8:I8"/>
    <mergeCell ref="A16:B16"/>
    <mergeCell ref="C16:D16"/>
    <mergeCell ref="E10:I10"/>
    <mergeCell ref="E19:F19"/>
    <mergeCell ref="E28:F28"/>
    <mergeCell ref="D32:E32"/>
    <mergeCell ref="E33:H33"/>
    <mergeCell ref="A18:B18"/>
    <mergeCell ref="A9:D11"/>
    <mergeCell ref="B23:I23"/>
    <mergeCell ref="E9:I9"/>
    <mergeCell ref="E15:I15"/>
    <mergeCell ref="E30:F30"/>
    <mergeCell ref="B29:I29"/>
    <mergeCell ref="E6:I6"/>
    <mergeCell ref="E2:F2"/>
    <mergeCell ref="H32:I32"/>
    <mergeCell ref="A13:D14"/>
    <mergeCell ref="A17:B17"/>
    <mergeCell ref="E26:F26"/>
    <mergeCell ref="C17:D17"/>
    <mergeCell ref="E17:I18"/>
    <mergeCell ref="E13:I14"/>
    <mergeCell ref="E7:I7"/>
    <mergeCell ref="E4:I5"/>
    <mergeCell ref="E16:I16"/>
    <mergeCell ref="A12:D12"/>
    <mergeCell ref="E34:H34"/>
    <mergeCell ref="H2:I3"/>
    <mergeCell ref="A1:I1"/>
    <mergeCell ref="A3:D7"/>
    <mergeCell ref="B32:C32"/>
    <mergeCell ref="E22:F22"/>
    <mergeCell ref="A2:D2"/>
    <mergeCell ref="C18:D18"/>
    <mergeCell ref="E11:H11"/>
    <mergeCell ref="E3:F3"/>
    <mergeCell ref="E21:F21"/>
  </mergeCells>
  <printOptions gridLines="false" gridLinesSet="true" horizontalCentered="true"/>
  <pageMargins left="0.31496062992126" right="0.2755905511811" top="0.47244094488189" bottom="0.43307086614173" header="0.31496062992126" footer="0.31496062992126"/>
  <pageSetup paperSize="9" orientation="portrait" scale="76"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34"/>
  <sheetViews>
    <sheetView tabSelected="0" workbookViewId="0" zoomScale="90" zoomScaleNormal="90" showGridLines="true" showRowColHeaders="1">
      <selection activeCell="F31" sqref="F31"/>
    </sheetView>
  </sheetViews>
  <sheetFormatPr defaultRowHeight="14.4" outlineLevelRow="0" outlineLevelCol="0"/>
  <cols>
    <col min="1" max="1" width="7.625" customWidth="true" style="244"/>
    <col min="2" max="2" width="14.875" customWidth="true" style="244"/>
    <col min="3" max="3" width="26.375" customWidth="true" style="244"/>
    <col min="4" max="4" width="10.5" customWidth="true" style="244"/>
    <col min="5" max="5" width="18.875" customWidth="true" style="244"/>
    <col min="6" max="6" width="18" customWidth="true" style="244"/>
    <col min="7" max="7" width="15.25" customWidth="true" style="244"/>
  </cols>
  <sheetData>
    <row r="1" spans="1:7" customHeight="1" ht="84" s="244" customFormat="1">
      <c r="A1" s="241"/>
      <c r="B1" s="244"/>
      <c r="C1" s="48"/>
      <c r="D1" s="48"/>
      <c r="E1" s="240" t="inlineStr">
        <is>
          <r>
            <t xml:space="preserve">PROFORMA INVOICE</t>
          </r>
        </is>
      </c>
      <c r="F1" s="244"/>
      <c r="G1" s="244"/>
    </row>
    <row r="2" spans="1:7" customHeight="1" ht="11.25" s="244" customFormat="1">
      <c r="A2" s="242" t="s">
        <v>350</v>
      </c>
      <c r="B2" s="244"/>
      <c r="C2" s="244"/>
      <c r="D2" s="242"/>
      <c r="E2" s="244"/>
      <c r="F2" s="244"/>
      <c r="G2" s="244"/>
    </row>
    <row r="3" spans="1:7" customHeight="1" ht="24.75" s="244" customFormat="1">
      <c r="A3" s="244"/>
      <c r="B3" s="244"/>
      <c r="C3" s="244"/>
      <c r="D3" s="242"/>
      <c r="E3" s="44" t="inlineStr">
        <is>
          <r>
            <t xml:space="preserve">Date</t>
          </r>
        </is>
      </c>
      <c r="F3" s="372" t="str">
        <f>구매리스트!D11</f>
        <v>0</v>
      </c>
      <c r="G3" s="373"/>
    </row>
    <row r="4" spans="1:7" customHeight="1" ht="24.75" s="244" customFormat="1">
      <c r="A4" s="47"/>
      <c r="B4" s="47"/>
      <c r="C4" s="47"/>
      <c r="D4" s="47"/>
      <c r="E4" s="44" t="inlineStr">
        <is>
          <r>
            <t xml:space="preserve">Invoice No.</t>
          </r>
        </is>
      </c>
      <c r="F4" s="374" t="str">
        <f>구매리스트!B3</f>
        <v>0</v>
      </c>
      <c r="G4" s="375"/>
    </row>
    <row r="5" spans="1:7" customHeight="1" ht="24.75" s="244" customFormat="1">
      <c r="A5" s="237"/>
      <c r="B5" s="237"/>
      <c r="C5" s="244"/>
      <c r="D5" s="244"/>
      <c r="E5" s="44" t="inlineStr">
        <is>
          <r>
            <t xml:space="preserve">Name</t>
          </r>
        </is>
      </c>
      <c r="F5" s="376" t="str">
        <f>구매리스트!D14</f>
        <v>0</v>
      </c>
      <c r="G5" s="375"/>
    </row>
    <row r="6" spans="1:7" customHeight="1" ht="24.75" s="244" customFormat="1">
      <c r="A6" s="237"/>
      <c r="B6" s="237"/>
      <c r="C6" s="244"/>
      <c r="D6" s="244"/>
      <c r="E6" s="44" t="inlineStr">
        <is>
          <r>
            <t xml:space="preserve">Nit</t>
          </r>
        </is>
      </c>
      <c r="F6" s="396"/>
      <c r="G6" s="375"/>
    </row>
    <row r="7" spans="1:7" customHeight="1" ht="24.75" s="244" customFormat="1">
      <c r="A7" s="237"/>
      <c r="B7" s="244"/>
      <c r="C7" s="244"/>
      <c r="D7" s="244"/>
      <c r="E7" s="44" t="inlineStr">
        <is>
          <r>
            <t xml:space="preserve">Address</t>
          </r>
        </is>
      </c>
      <c r="F7" s="397"/>
      <c r="G7" s="375"/>
    </row>
    <row r="8" spans="1:7" customHeight="1" ht="24.75" s="244" customFormat="1">
      <c r="A8" s="237"/>
      <c r="B8" s="244"/>
      <c r="C8" s="244"/>
      <c r="D8" s="244"/>
      <c r="E8" s="44" t="inlineStr">
        <is>
          <r>
            <t xml:space="preserve">Country</t>
          </r>
        </is>
      </c>
      <c r="F8" s="398"/>
      <c r="G8" s="375"/>
    </row>
    <row r="9" spans="1:7" customHeight="1" ht="24.75" s="244" customFormat="1">
      <c r="A9" s="237"/>
      <c r="B9" s="237"/>
      <c r="C9" s="244"/>
      <c r="D9" s="244"/>
      <c r="E9" s="44" t="inlineStr">
        <is>
          <r>
            <t xml:space="preserve">Phone</t>
          </r>
        </is>
      </c>
      <c r="F9" s="396"/>
      <c r="G9" s="375"/>
    </row>
    <row r="10" spans="1:7" customHeight="1" ht="18" s="244" customFormat="1">
      <c r="A10" s="237"/>
      <c r="B10" s="244"/>
      <c r="C10" s="244"/>
      <c r="D10" s="244"/>
      <c r="E10" s="44"/>
      <c r="F10" s="46"/>
      <c r="G10" s="45"/>
    </row>
    <row r="11" spans="1:7" customHeight="1" ht="23.25" s="244" customFormat="1">
      <c r="A11" s="236"/>
      <c r="B11" s="236"/>
      <c r="C11" s="244"/>
      <c r="D11" s="244"/>
      <c r="E11" s="44" t="inlineStr">
        <is>
          <r>
            <t xml:space="preserve">Total invoice</t>
          </r>
        </is>
      </c>
      <c r="F11" s="377" t="str">
        <f>F31</f>
        <v>0</v>
      </c>
      <c r="G11" s="375"/>
    </row>
    <row r="12" spans="1:7" customHeight="1" ht="23.25" s="244" customFormat="1">
      <c r="A12" s="236"/>
      <c r="B12" s="244"/>
      <c r="C12" s="244"/>
      <c r="D12" s="244"/>
      <c r="E12" s="44" t="inlineStr">
        <is>
          <r>
            <t xml:space="preserve">Total received in Korea</t>
          </r>
        </is>
      </c>
      <c r="F12" s="377" t="str">
        <f>F31</f>
        <v>0</v>
      </c>
      <c r="G12" s="375"/>
    </row>
    <row r="13" spans="1:7" customHeight="1" ht="23.25" s="244" customFormat="1">
      <c r="A13" s="243"/>
      <c r="B13" s="244"/>
      <c r="C13" s="51"/>
      <c r="D13" s="51"/>
      <c r="E13" s="44" t="inlineStr">
        <is>
          <r>
            <t xml:space="preserve">Not received</t>
          </r>
        </is>
      </c>
      <c r="F13" s="378" t="str">
        <f>SUM(F11-F12)</f>
        <v>0</v>
      </c>
      <c r="G13" s="375"/>
    </row>
    <row r="14" spans="1:7" customHeight="1" ht="17.25" s="244" customFormat="1">
      <c r="A14" s="243"/>
      <c r="B14" s="244"/>
      <c r="C14" s="52"/>
      <c r="D14" s="52"/>
      <c r="E14" s="379"/>
      <c r="F14" s="244"/>
      <c r="G14" s="244"/>
    </row>
    <row r="15" spans="1:7" customHeight="1" ht="26.25" s="244" customFormat="1">
      <c r="A15" s="380" t="inlineStr">
        <is>
          <r>
            <t xml:space="preserve">BANK ACCOUNT INFORMATION</t>
          </r>
        </is>
      </c>
      <c r="B15" s="381"/>
      <c r="C15" s="381"/>
      <c r="D15" s="381"/>
      <c r="E15" s="381"/>
      <c r="F15" s="381"/>
      <c r="G15" s="382"/>
    </row>
    <row r="16" spans="1:7" customHeight="1" ht="26.25" s="244" customFormat="1">
      <c r="A16" s="238" t="inlineStr">
        <is>
          <r>
            <t xml:space="preserve">Beneficiary</t>
          </r>
        </is>
      </c>
      <c r="B16" s="382"/>
      <c r="C16" s="383" t="inlineStr">
        <is>
          <r>
            <t xml:space="preserve">SSANCAR CO LTD</t>
          </r>
        </is>
      </c>
      <c r="D16" s="382"/>
      <c r="E16" s="238" t="inlineStr">
        <is>
          <r>
            <t xml:space="preserve">Bank Name</t>
          </r>
        </is>
      </c>
      <c r="F16" s="384" t="inlineStr">
        <is>
          <r>
            <t xml:space="preserve">SHINHAN BANK</t>
          </r>
        </is>
      </c>
      <c r="G16" s="382"/>
    </row>
    <row r="17" spans="1:7" customHeight="1" ht="26.25" s="244" customFormat="1">
      <c r="A17" s="238" t="inlineStr">
        <is>
          <r>
            <t xml:space="preserve">Swift Code</t>
          </r>
        </is>
      </c>
      <c r="B17" s="382"/>
      <c r="C17" s="383" t="inlineStr">
        <is>
          <r>
            <t xml:space="preserve">SHBKKRSE</t>
          </r>
        </is>
      </c>
      <c r="D17" s="382"/>
      <c r="E17" s="238" t="inlineStr">
        <is>
          <r>
            <t xml:space="preserve">Bank Address</t>
          </r>
        </is>
      </c>
      <c r="F17" s="239" t="inlineStr">
        <is>
          <r>
            <t xml:space="preserve">20,Sejong-Daero9-Gil,Jung-Gu Seoul South Korea</t>
          </r>
        </is>
      </c>
      <c r="G17" s="382"/>
    </row>
    <row r="18" spans="1:7" customHeight="1" ht="26.25" s="244" customFormat="1">
      <c r="A18" s="238" t="inlineStr">
        <is>
          <r>
            <t xml:space="preserve">Bank Account Number</t>
          </r>
        </is>
      </c>
      <c r="B18" s="382"/>
      <c r="C18" s="383" t="inlineStr">
        <is>
          <r>
            <t xml:space="preserve">180-008-400167</t>
          </r>
        </is>
      </c>
      <c r="D18" s="382"/>
      <c r="E18" s="238" t="inlineStr">
        <is>
          <r>
            <t xml:space="preserve">Beneficiary Address</t>
          </r>
        </is>
      </c>
      <c r="F18" s="385" t="inlineStr">
        <is>
          <r>
            <t xml:space="preserve">163 Sangidaehak-ro, Siheung-si, Gyeonggi-do,   SOUTH KOREA</t>
          </r>
        </is>
      </c>
      <c r="G18" s="382"/>
    </row>
    <row r="19" spans="1:7">
      <c r="A19" s="244"/>
      <c r="B19" s="244"/>
      <c r="C19" s="43"/>
      <c r="D19" s="43"/>
      <c r="E19" s="379"/>
      <c r="F19" s="244"/>
      <c r="G19" s="244"/>
    </row>
    <row r="20" spans="1:7" customHeight="1" ht="25.5" s="244" customFormat="1">
      <c r="A20" s="42" t="inlineStr">
        <is>
          <r>
            <t xml:space="preserve">Code</t>
          </r>
        </is>
      </c>
      <c r="B20" s="42" t="inlineStr">
        <is>
          <r>
            <t xml:space="preserve">Model</t>
          </r>
        </is>
      </c>
      <c r="C20" s="42" t="inlineStr">
        <is>
          <r>
            <t xml:space="preserve">Chassis Number</t>
          </r>
        </is>
      </c>
      <c r="D20" s="42" t="inlineStr">
        <is>
          <r>
            <t xml:space="preserve">Year</t>
          </r>
        </is>
      </c>
      <c r="E20" s="42" t="inlineStr">
        <is>
          <r>
            <t xml:space="preserve">Lot. No.</t>
          </r>
        </is>
      </c>
      <c r="F20" s="42" t="inlineStr">
        <is>
          <r>
            <t xml:space="preserve">Total</t>
          </r>
        </is>
      </c>
      <c r="G20" s="382"/>
    </row>
    <row r="21" spans="1:7" customHeight="1" ht="25.5" s="244" customFormat="1">
      <c r="A21" s="133" t="str">
        <f>구매리스트!B3</f>
        <v>0</v>
      </c>
      <c r="B21" s="131" t="str">
        <f>구매리스트!B5</f>
        <v>0</v>
      </c>
      <c r="C21" s="132" t="str">
        <f>구매리스트!D5</f>
        <v>0</v>
      </c>
      <c r="D21" s="132" t="str">
        <f>구매리스트!D6</f>
        <v>0</v>
      </c>
      <c r="E21" s="41"/>
      <c r="F21" s="386" t="str">
        <f>차량인보이스!H22</f>
        <v>0</v>
      </c>
      <c r="G21" s="382"/>
    </row>
    <row r="22" spans="1:7" customHeight="1" ht="25.5" s="244" customFormat="1">
      <c r="A22" s="41"/>
      <c r="B22" s="41"/>
      <c r="C22" s="41"/>
      <c r="D22" s="41"/>
      <c r="E22" s="41"/>
      <c r="F22" s="387"/>
      <c r="G22" s="382"/>
    </row>
    <row r="23" spans="1:7" customHeight="1" ht="25.5" s="244" customFormat="1">
      <c r="A23" s="41"/>
      <c r="B23" s="41"/>
      <c r="C23" s="41"/>
      <c r="D23" s="41"/>
      <c r="E23" s="41"/>
      <c r="F23" s="387"/>
      <c r="G23" s="382"/>
    </row>
    <row r="24" spans="1:7" customHeight="1" ht="25.5" s="244" customFormat="1">
      <c r="A24" s="41"/>
      <c r="B24" s="41"/>
      <c r="C24" s="41"/>
      <c r="D24" s="41"/>
      <c r="E24" s="41"/>
      <c r="F24" s="387"/>
      <c r="G24" s="382"/>
    </row>
    <row r="25" spans="1:7" customHeight="1" ht="25.5" s="244" customFormat="1">
      <c r="A25" s="41"/>
      <c r="B25" s="41"/>
      <c r="C25" s="41"/>
      <c r="D25" s="41"/>
      <c r="E25" s="41"/>
      <c r="F25" s="387"/>
      <c r="G25" s="382"/>
    </row>
    <row r="26" spans="1:7" customHeight="1" ht="25.5" s="244" customFormat="1">
      <c r="A26" s="41"/>
      <c r="B26" s="41"/>
      <c r="C26" s="41"/>
      <c r="D26" s="41"/>
      <c r="E26" s="41"/>
      <c r="F26" s="387"/>
      <c r="G26" s="382"/>
    </row>
    <row r="27" spans="1:7" customHeight="1" ht="25.5" s="244" customFormat="1">
      <c r="A27" s="41"/>
      <c r="B27" s="41"/>
      <c r="C27" s="41"/>
      <c r="D27" s="41"/>
      <c r="E27" s="41"/>
      <c r="F27" s="387"/>
      <c r="G27" s="382"/>
    </row>
    <row r="28" spans="1:7" customHeight="1" ht="30" s="244" customFormat="1">
      <c r="A28" s="38"/>
      <c r="B28" s="38"/>
      <c r="C28" s="38"/>
      <c r="D28" s="38"/>
      <c r="E28" s="49" t="inlineStr">
        <is>
          <r>
            <t xml:space="preserve">Sub Total</t>
          </r>
        </is>
      </c>
      <c r="F28" s="388" t="str">
        <f>SUM(F21:G27)</f>
        <v>0</v>
      </c>
      <c r="G28" s="382"/>
    </row>
    <row r="29" spans="1:7" customHeight="1" ht="30" s="244" customFormat="1">
      <c r="A29" s="38"/>
      <c r="B29" s="38"/>
      <c r="C29" s="39"/>
      <c r="D29" s="39"/>
      <c r="E29" s="49" t="inlineStr">
        <is>
          <r>
            <t xml:space="preserve">Shipping Cost</t>
          </r>
        </is>
      </c>
      <c r="F29" s="388" t="str">
        <f>차량인보이스!I22</f>
        <v>0</v>
      </c>
      <c r="G29" s="382"/>
    </row>
    <row r="30" spans="1:7" customHeight="1" ht="30" s="244" customFormat="1">
      <c r="A30" s="38"/>
      <c r="B30" s="38"/>
      <c r="C30" s="40"/>
      <c r="D30" s="40"/>
      <c r="E30" s="50"/>
      <c r="F30" s="389"/>
      <c r="G30" s="390"/>
    </row>
    <row r="31" spans="1:7" customHeight="1" ht="30" s="244" customFormat="1">
      <c r="A31" s="38"/>
      <c r="B31" s="38"/>
      <c r="C31" s="38"/>
      <c r="D31" s="38"/>
      <c r="E31" s="50" t="inlineStr">
        <is>
          <r>
            <t xml:space="preserve">Grend Total</t>
          </r>
        </is>
      </c>
      <c r="F31" s="388" t="str">
        <f>SUM(F28:G29)</f>
        <v>0</v>
      </c>
      <c r="G31" s="382"/>
    </row>
    <row r="32" spans="1:7">
      <c r="A32" s="38"/>
      <c r="B32" s="38"/>
      <c r="C32" s="38"/>
      <c r="D32" s="38"/>
      <c r="E32" s="38"/>
      <c r="F32" s="39"/>
      <c r="G32" s="39"/>
    </row>
    <row r="33" spans="1:7">
      <c r="A33" s="38"/>
      <c r="B33" s="38"/>
      <c r="C33" s="38"/>
      <c r="D33" s="38"/>
      <c r="E33" s="38"/>
      <c r="F33" s="39"/>
      <c r="G33" s="39"/>
    </row>
    <row r="34" spans="1:7">
      <c r="A34" s="38"/>
      <c r="B34" s="38"/>
      <c r="C34" s="38"/>
      <c r="D34" s="38"/>
      <c r="E34" s="38"/>
      <c r="F34" s="39"/>
      <c r="G34" s="39"/>
    </row>
  </sheetData>
  <mergeCells>
    <mergeCell ref="F4:G4"/>
    <mergeCell ref="F11:G11"/>
    <mergeCell ref="F29:G29"/>
    <mergeCell ref="F16:G16"/>
    <mergeCell ref="F25:G25"/>
    <mergeCell ref="F6:G6"/>
    <mergeCell ref="A1:B1"/>
    <mergeCell ref="F7:G7"/>
    <mergeCell ref="F3:G3"/>
    <mergeCell ref="F21:G21"/>
    <mergeCell ref="F12:G12"/>
    <mergeCell ref="F24:G24"/>
    <mergeCell ref="A16:B16"/>
    <mergeCell ref="A7:B7"/>
    <mergeCell ref="C16:D16"/>
    <mergeCell ref="F5:G5"/>
    <mergeCell ref="F20:G20"/>
    <mergeCell ref="F18:G18"/>
    <mergeCell ref="A15:G15"/>
    <mergeCell ref="A18:B18"/>
    <mergeCell ref="F26:G26"/>
    <mergeCell ref="F17:G17"/>
    <mergeCell ref="F8:G8"/>
    <mergeCell ref="A12:B12"/>
    <mergeCell ref="F23:G23"/>
    <mergeCell ref="F31:G31"/>
    <mergeCell ref="A14:B14"/>
    <mergeCell ref="F22:G22"/>
    <mergeCell ref="F28:G28"/>
    <mergeCell ref="F13:G13"/>
    <mergeCell ref="A17:B17"/>
    <mergeCell ref="A8:B8"/>
    <mergeCell ref="F27:G27"/>
    <mergeCell ref="C17:D17"/>
    <mergeCell ref="F9:G9"/>
    <mergeCell ref="A2:C3"/>
    <mergeCell ref="A10:B10"/>
    <mergeCell ref="A13:B13"/>
    <mergeCell ref="C18:D18"/>
    <mergeCell ref="E1:G1"/>
  </mergeCells>
  <printOptions gridLines="false" gridLinesSet="true"/>
  <pageMargins left="0.37" right="0.27" top="0.75" bottom="0.75" header="0.3" footer="0.3"/>
  <pageSetup paperSize="9" orientation="portrait" scale="8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구매리스트</vt:lpstr>
      <vt:lpstr>한글등록증</vt:lpstr>
      <vt:lpstr>영문등록증</vt:lpstr>
      <vt:lpstr>말소증</vt:lpstr>
      <vt:lpstr>차량인보이스</vt:lpstr>
      <vt:lpstr>차량팩킹</vt:lpstr>
      <vt:lpstr>Travel Services Invoice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choi young suk</cp:lastModifiedBy>
  <dcterms:created xsi:type="dcterms:W3CDTF">2023-05-31T18:09:35+02:00</dcterms:created>
  <dcterms:modified xsi:type="dcterms:W3CDTF">2026-05-24T07:10:11+02:00</dcterms:modified>
  <dc:title/>
  <dc:description/>
  <dc:subject/>
  <cp:keywords/>
  <cp:category/>
</cp:coreProperties>
</file>