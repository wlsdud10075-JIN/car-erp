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005" yWindow="780" windowWidth="20640" windowHeight="14355" tabRatio="600" firstSheet="0" activeTab="0" autoFilterDateGrouping="1"/>
  </bookViews>
  <sheets>
    <sheet xmlns:r="http://schemas.openxmlformats.org/officeDocument/2006/relationships" name="INVOICE" sheetId="1" state="visible" r:id="rId1"/>
  </sheets>
  <externalReferences>
    <externalReference xmlns:r="http://schemas.openxmlformats.org/officeDocument/2006/relationships" r:id="rId2"/>
    <externalReference xmlns:r="http://schemas.openxmlformats.org/officeDocument/2006/relationships" r:id="rId3"/>
    <externalReference xmlns:r="http://schemas.openxmlformats.org/officeDocument/2006/relationships" r:id="rId4"/>
    <externalReference xmlns:r="http://schemas.openxmlformats.org/officeDocument/2006/relationships" r:id="rId5"/>
    <externalReference xmlns:r="http://schemas.openxmlformats.org/officeDocument/2006/relationships" r:id="rId6"/>
  </externalReferences>
  <definedNames>
    <definedName name="_xlnm.Print_Titles" localSheetId="0">'INVOICE'!$20:$20</definedName>
    <definedName name="_xlnm.Print_Area" localSheetId="0">'INVOICE'!$A$1:$L$46</definedName>
  </definedNames>
  <calcPr calcId="191029" fullCalcOnLoad="1"/>
</workbook>
</file>

<file path=xl/styles.xml><?xml version="1.0" encoding="utf-8"?>
<styleSheet xmlns="http://schemas.openxmlformats.org/spreadsheetml/2006/main">
  <numFmts count="12">
    <numFmt numFmtId="164" formatCode="\$#,##0_);\(\$#,##0\)"/>
    <numFmt numFmtId="165" formatCode="_-* #,##0_-;\-* #,##0_-;_-* &quot;-&quot;_-;_-@_-"/>
    <numFmt numFmtId="166" formatCode="#,##0&quot; CAR(S)&quot;"/>
    <numFmt numFmtId="167" formatCode="&quot;U$&quot;#,##0.\-"/>
    <numFmt numFmtId="168" formatCode="#,##0_ ;[Red]\-#,##0\ "/>
    <numFmt numFmtId="169" formatCode="####&quot;cc&quot;"/>
    <numFmt numFmtId="170" formatCode="\$#,##0_);[Red]\(\$#,##0\)"/>
    <numFmt numFmtId="171" formatCode="#,##0_);[Red]\(#,##0\)"/>
    <numFmt numFmtId="172" formatCode="_-* #,##0.000_-;\-* #,##0.000_-;_-* &quot;-&quot;_-;_-@_-"/>
    <numFmt numFmtId="173" formatCode="\$#,##0;[Red]\-\$#,##0"/>
    <numFmt numFmtId="174" formatCode="_-* #,##0_-;\-* #,##0.000_-;_-* &quot;-&quot;_-;_-@_-"/>
    <numFmt numFmtId="175" formatCode="[$-409]mmm&quot; . &quot;dd&quot; . &quot;yy;@"/>
  </numFmts>
  <fonts count="47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돋움"/>
      <charset val="129"/>
      <family val="3"/>
      <sz val="11"/>
    </font>
    <font>
      <name val="Arial Narrow"/>
      <family val="2"/>
      <b val="1"/>
      <i val="1"/>
      <sz val="18"/>
    </font>
    <font>
      <name val="맑은 고딕"/>
      <charset val="129"/>
      <family val="2"/>
      <sz val="8"/>
      <scheme val="minor"/>
    </font>
    <font>
      <name val="돋움"/>
      <charset val="129"/>
      <family val="3"/>
      <sz val="8"/>
    </font>
    <font>
      <name val="Arial Narrow"/>
      <family val="2"/>
      <sz val="11"/>
    </font>
    <font>
      <name val="Arial Narrow"/>
      <family val="2"/>
      <b val="1"/>
      <sz val="10"/>
    </font>
    <font>
      <name val="Arial Narrow"/>
      <family val="2"/>
      <b val="1"/>
      <color rgb="FFFF0000"/>
      <sz val="14"/>
    </font>
    <font>
      <name val="Arial Narrow"/>
      <family val="2"/>
      <b val="1"/>
      <sz val="14"/>
    </font>
    <font>
      <name val="Arial Narrow"/>
      <family val="2"/>
      <b val="1"/>
      <color rgb="FFFF0000"/>
      <sz val="10"/>
    </font>
    <font>
      <name val="Arial Narrow"/>
      <family val="2"/>
      <b val="1"/>
      <sz val="11"/>
    </font>
    <font>
      <name val="맑은 고딕"/>
      <charset val="129"/>
      <family val="3"/>
      <b val="1"/>
      <sz val="15"/>
    </font>
    <font>
      <name val="나눔고딕"/>
      <charset val="129"/>
      <family val="3"/>
      <b val="1"/>
      <sz val="15"/>
    </font>
    <font>
      <name val="Arial Narrow"/>
      <family val="2"/>
      <b val="1"/>
      <sz val="12"/>
    </font>
    <font>
      <name val="Arial Narrow"/>
      <family val="2"/>
      <b val="1"/>
      <color rgb="FFFF0000"/>
      <sz val="15"/>
    </font>
    <font>
      <name val="Arial Unicode MS"/>
      <charset val="129"/>
      <family val="2"/>
      <b val="1"/>
      <color rgb="FFFF0000"/>
      <sz val="12"/>
    </font>
    <font>
      <name val="Arial Narrow"/>
      <family val="2"/>
      <b val="1"/>
      <color rgb="FFFF0000"/>
      <sz val="12"/>
    </font>
    <font>
      <name val="Arial Narrow"/>
      <family val="2"/>
      <b val="1"/>
      <color rgb="FFFF0000"/>
      <sz val="16"/>
    </font>
    <font>
      <name val="나눔고딕"/>
      <charset val="129"/>
      <family val="3"/>
      <b val="1"/>
      <color rgb="FFFF0000"/>
      <sz val="12"/>
    </font>
    <font>
      <name val="Arial Narrow"/>
      <family val="2"/>
      <b val="1"/>
      <color rgb="FFFF0000"/>
      <sz val="11"/>
    </font>
    <font>
      <name val="나눔고딕"/>
      <charset val="129"/>
      <family val="3"/>
      <sz val="9"/>
    </font>
    <font>
      <name val="나눔고딕"/>
      <charset val="129"/>
      <family val="3"/>
      <b val="1"/>
      <sz val="9"/>
    </font>
    <font>
      <name val="Arial Narrow"/>
      <family val="2"/>
      <b val="1"/>
      <color rgb="FFFF0000"/>
      <sz val="10"/>
      <u val="single"/>
    </font>
    <font>
      <name val="맑은 고딕"/>
      <charset val="129"/>
      <family val="3"/>
      <sz val="10"/>
      <scheme val="minor"/>
    </font>
    <font>
      <name val="맑은 고딕"/>
      <charset val="129"/>
      <family val="2"/>
      <b val="1"/>
      <color rgb="FFFF0000"/>
      <sz val="15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2"/>
      <b val="1"/>
      <color theme="1"/>
      <sz val="11"/>
      <scheme val="minor"/>
    </font>
    <font>
      <name val="Arial Narrow"/>
      <family val="2"/>
      <b val="1"/>
      <color theme="1"/>
      <sz val="11"/>
    </font>
    <font>
      <name val="Arial Narrow"/>
      <family val="2"/>
      <color rgb="FF0070C0"/>
      <sz val="9"/>
    </font>
    <font>
      <name val="Arial Narrow"/>
      <family val="2"/>
      <color rgb="FF0070C0"/>
      <sz val="8"/>
    </font>
    <font>
      <name val="맑은 고딕"/>
      <charset val="129"/>
      <family val="3"/>
      <b val="1"/>
      <sz val="11"/>
      <u val="single"/>
    </font>
    <font>
      <name val="맑은 고딕"/>
      <charset val="129"/>
      <family val="3"/>
      <b val="1"/>
      <sz val="16"/>
      <u val="single"/>
      <scheme val="major"/>
    </font>
    <font>
      <name val="맑은 고딕"/>
      <charset val="129"/>
      <family val="3"/>
      <b val="1"/>
      <sz val="16"/>
      <scheme val="maj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b val="1"/>
      <sz val="11"/>
      <u val="single"/>
      <scheme val="minor"/>
    </font>
    <font>
      <name val="Arial Narrow"/>
      <family val="2"/>
      <sz val="9"/>
    </font>
    <font>
      <name val="Arial Narrow"/>
      <family val="2"/>
      <color theme="0" tint="-0.499984740745262"/>
      <sz val="11"/>
    </font>
    <font>
      <name val="Arial Narrow"/>
      <family val="2"/>
      <b val="1"/>
      <color theme="0" tint="-0.499984740745262"/>
      <sz val="10"/>
    </font>
    <font>
      <name val="Arial Narrow"/>
      <family val="2"/>
      <color theme="0" tint="-0.499984740745262"/>
      <sz val="10"/>
    </font>
    <font>
      <name val="맑은 고딕"/>
      <charset val="129"/>
      <family val="3"/>
      <b val="1"/>
      <color rgb="FF0070C0"/>
      <sz val="10"/>
      <scheme val="minor"/>
    </font>
    <font>
      <name val="Arial Unicode MS"/>
      <charset val="129"/>
      <family val="3"/>
      <sz val="11"/>
    </font>
    <font>
      <name val="맑은 고딕"/>
      <charset val="129"/>
      <family val="3"/>
      <b val="1"/>
      <sz val="11"/>
      <scheme val="major"/>
    </font>
    <font>
      <name val="맑은 고딕"/>
      <charset val="129"/>
      <family val="3"/>
      <b val="1"/>
      <color theme="1"/>
      <sz val="11"/>
      <scheme val="major"/>
    </font>
    <font>
      <name val="맑은 고딕"/>
      <charset val="129"/>
      <family val="3"/>
      <b val="1"/>
      <color indexed="8"/>
      <sz val="11"/>
      <scheme val="minor"/>
    </font>
    <font>
      <name val="HY견고딕"/>
      <charset val="129"/>
      <family val="1"/>
      <b val="1"/>
      <color rgb="FFFF0000"/>
      <sz val="18"/>
    </font>
  </fonts>
  <fills count="5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1" fillId="0" borderId="0" applyAlignment="1">
      <alignment vertical="center"/>
    </xf>
    <xf numFmtId="41" fontId="1" fillId="0" borderId="0" applyAlignment="1">
      <alignment vertical="center"/>
    </xf>
    <xf numFmtId="0" fontId="2" fillId="0" borderId="0" applyAlignment="1">
      <alignment vertical="center"/>
    </xf>
    <xf numFmtId="41" fontId="2" fillId="0" borderId="0" applyAlignment="1">
      <alignment vertical="center"/>
    </xf>
    <xf numFmtId="42" fontId="2" fillId="0" borderId="0" applyAlignment="1">
      <alignment vertical="center"/>
    </xf>
  </cellStyleXfs>
  <cellXfs count="238">
    <xf numFmtId="0" fontId="0" fillId="0" borderId="0" applyAlignment="1" pivotButton="0" quotePrefix="0" xfId="0">
      <alignment vertical="center"/>
    </xf>
    <xf numFmtId="0" fontId="6" fillId="0" borderId="0" applyAlignment="1" pivotButton="0" quotePrefix="0" xfId="2">
      <alignment vertical="center"/>
    </xf>
    <xf numFmtId="0" fontId="21" fillId="0" borderId="0" applyAlignment="1" pivotButton="0" quotePrefix="0" xfId="2">
      <alignment vertical="center"/>
    </xf>
    <xf numFmtId="0" fontId="22" fillId="0" borderId="0" applyAlignment="1" pivotButton="0" quotePrefix="0" xfId="2">
      <alignment vertical="center"/>
    </xf>
    <xf numFmtId="0" fontId="23" fillId="2" borderId="8" applyAlignment="1" pivotButton="0" quotePrefix="0" xfId="2">
      <alignment horizontal="center" vertical="center"/>
    </xf>
    <xf numFmtId="164" fontId="23" fillId="2" borderId="8" applyAlignment="1" pivotButton="0" quotePrefix="0" xfId="2">
      <alignment horizontal="center" vertical="center"/>
    </xf>
    <xf numFmtId="0" fontId="23" fillId="2" borderId="8" applyAlignment="1" pivotButton="0" quotePrefix="0" xfId="2">
      <alignment horizontal="center" vertical="center" wrapText="1"/>
    </xf>
    <xf numFmtId="0" fontId="7" fillId="0" borderId="0" applyAlignment="1" pivotButton="0" quotePrefix="0" xfId="2">
      <alignment vertical="center"/>
    </xf>
    <xf numFmtId="165" fontId="21" fillId="0" borderId="0" applyAlignment="1" pivotButton="0" quotePrefix="0" xfId="3">
      <alignment vertical="center"/>
    </xf>
    <xf numFmtId="0" fontId="11" fillId="0" borderId="0" applyAlignment="1" pivotButton="0" quotePrefix="0" xfId="2">
      <alignment vertical="center"/>
    </xf>
    <xf numFmtId="165" fontId="6" fillId="0" borderId="0" applyAlignment="1" pivotButton="0" quotePrefix="0" xfId="3">
      <alignment vertical="center"/>
    </xf>
    <xf numFmtId="165" fontId="6" fillId="0" borderId="0" applyAlignment="1" pivotButton="0" quotePrefix="0" xfId="3">
      <alignment vertical="center"/>
    </xf>
    <xf numFmtId="165" fontId="11" fillId="0" borderId="1" applyAlignment="1" pivotButton="0" quotePrefix="0" xfId="2">
      <alignment horizontal="center" vertical="center"/>
    </xf>
    <xf numFmtId="0" fontId="11" fillId="0" borderId="13" applyAlignment="1" pivotButton="0" quotePrefix="0" xfId="2">
      <alignment vertical="center"/>
    </xf>
    <xf numFmtId="0" fontId="11" fillId="0" borderId="13" applyAlignment="1" pivotButton="0" quotePrefix="0" xfId="2">
      <alignment horizontal="center" vertical="center"/>
    </xf>
    <xf numFmtId="0" fontId="26" fillId="3" borderId="9" applyAlignment="1" pivotButton="0" quotePrefix="0" xfId="0">
      <alignment horizontal="center" vertical="center"/>
    </xf>
    <xf numFmtId="0" fontId="30" fillId="0" borderId="9" applyAlignment="1" pivotButton="0" quotePrefix="0" xfId="2">
      <alignment vertical="center"/>
    </xf>
    <xf numFmtId="166" fontId="23" fillId="2" borderId="8" applyAlignment="1" pivotButton="0" quotePrefix="0" xfId="2">
      <alignment horizontal="center" vertical="center" wrapText="1"/>
    </xf>
    <xf numFmtId="167" fontId="23" fillId="2" borderId="8" applyAlignment="1" pivotButton="0" quotePrefix="0" xfId="2">
      <alignment horizontal="center" vertical="center" wrapText="1"/>
    </xf>
    <xf numFmtId="0" fontId="31" fillId="0" borderId="9" applyAlignment="1" pivotButton="0" quotePrefix="0" xfId="2">
      <alignment vertical="center"/>
    </xf>
    <xf numFmtId="0" fontId="31" fillId="0" borderId="9" applyAlignment="1" pivotButton="0" quotePrefix="0" xfId="2">
      <alignment vertical="center" wrapText="1"/>
    </xf>
    <xf numFmtId="168" fontId="37" fillId="0" borderId="0" applyAlignment="1" pivotButton="0" quotePrefix="0" xfId="2">
      <alignment vertical="center"/>
    </xf>
    <xf numFmtId="0" fontId="31" fillId="0" borderId="6" applyAlignment="1" pivotButton="0" quotePrefix="0" xfId="2">
      <alignment vertical="center"/>
    </xf>
    <xf numFmtId="0" fontId="10" fillId="2" borderId="10" applyAlignment="1" pivotButton="0" quotePrefix="0" xfId="2">
      <alignment horizontal="right" vertical="center"/>
    </xf>
    <xf numFmtId="165" fontId="23" fillId="2" borderId="11" applyAlignment="1" pivotButton="0" quotePrefix="0" xfId="3">
      <alignment horizontal="center" vertical="center" wrapText="1"/>
    </xf>
    <xf numFmtId="165" fontId="11" fillId="0" borderId="10" applyAlignment="1" pivotButton="0" quotePrefix="0" xfId="3">
      <alignment horizontal="center" vertical="center"/>
    </xf>
    <xf numFmtId="0" fontId="11" fillId="0" borderId="6" applyAlignment="1" pivotButton="0" quotePrefix="0" xfId="2">
      <alignment vertical="center"/>
    </xf>
    <xf numFmtId="0" fontId="11" fillId="0" borderId="5" applyAlignment="1" pivotButton="0" quotePrefix="0" xfId="2">
      <alignment vertical="center"/>
    </xf>
    <xf numFmtId="0" fontId="11" fillId="0" borderId="16" applyAlignment="1" pivotButton="0" quotePrefix="0" xfId="2">
      <alignment vertical="center"/>
    </xf>
    <xf numFmtId="0" fontId="11" fillId="0" borderId="5" applyAlignment="1" pivotButton="0" quotePrefix="0" xfId="2">
      <alignment horizontal="left" vertical="center"/>
    </xf>
    <xf numFmtId="0" fontId="11" fillId="0" borderId="0" applyAlignment="1" pivotButton="0" quotePrefix="0" xfId="2">
      <alignment horizontal="left" vertical="center"/>
    </xf>
    <xf numFmtId="0" fontId="11" fillId="0" borderId="4" applyAlignment="1" pivotButton="0" quotePrefix="0" xfId="2">
      <alignment vertical="center"/>
    </xf>
    <xf numFmtId="0" fontId="6" fillId="0" borderId="5" applyAlignment="1" pivotButton="0" quotePrefix="0" xfId="2">
      <alignment vertical="center"/>
    </xf>
    <xf numFmtId="0" fontId="6" fillId="0" borderId="4" applyAlignment="1" pivotButton="0" quotePrefix="0" xfId="2">
      <alignment vertical="center"/>
    </xf>
    <xf numFmtId="0" fontId="6" fillId="0" borderId="6" applyAlignment="1" pivotButton="0" quotePrefix="0" xfId="2">
      <alignment vertical="center"/>
    </xf>
    <xf numFmtId="0" fontId="6" fillId="0" borderId="1" applyAlignment="1" pivotButton="0" quotePrefix="0" xfId="2">
      <alignment vertical="center"/>
    </xf>
    <xf numFmtId="0" fontId="6" fillId="0" borderId="7" applyAlignment="1" pivotButton="0" quotePrefix="0" xfId="2">
      <alignment vertical="center"/>
    </xf>
    <xf numFmtId="0" fontId="38" fillId="0" borderId="0" applyAlignment="1" pivotButton="0" quotePrefix="0" xfId="2">
      <alignment vertical="center"/>
    </xf>
    <xf numFmtId="0" fontId="39" fillId="0" borderId="0" applyAlignment="1" pivotButton="0" quotePrefix="0" xfId="2">
      <alignment vertical="center"/>
    </xf>
    <xf numFmtId="0" fontId="40" fillId="0" borderId="0" applyAlignment="1" pivotButton="0" quotePrefix="0" xfId="2">
      <alignment vertical="center"/>
    </xf>
    <xf numFmtId="165" fontId="11" fillId="0" borderId="9" applyAlignment="1" pivotButton="0" quotePrefix="0" xfId="3">
      <alignment horizontal="center" vertical="center"/>
    </xf>
    <xf numFmtId="0" fontId="41" fillId="3" borderId="8" applyAlignment="1" pivotButton="0" quotePrefix="0" xfId="0">
      <alignment vertical="center" wrapText="1"/>
    </xf>
    <xf numFmtId="169" fontId="41" fillId="3" borderId="8" applyAlignment="1" pivotButton="0" quotePrefix="0" xfId="0">
      <alignment horizontal="center" vertical="center" wrapText="1"/>
    </xf>
    <xf numFmtId="0" fontId="42" fillId="0" borderId="9" applyAlignment="1" pivotButton="0" quotePrefix="0" xfId="2">
      <alignment vertical="center" shrinkToFit="1"/>
    </xf>
    <xf numFmtId="0" fontId="42" fillId="0" borderId="9" applyAlignment="1" pivotButton="0" quotePrefix="0" xfId="2">
      <alignment horizontal="center" vertical="center"/>
    </xf>
    <xf numFmtId="0" fontId="42" fillId="0" borderId="9" applyAlignment="1" pivotButton="0" quotePrefix="0" xfId="2">
      <alignment horizontal="center" vertical="center" shrinkToFit="1"/>
    </xf>
    <xf numFmtId="165" fontId="42" fillId="0" borderId="9" applyAlignment="1" pivotButton="0" quotePrefix="0" xfId="3">
      <alignment horizontal="center" vertical="center"/>
    </xf>
    <xf numFmtId="0" fontId="11" fillId="0" borderId="1" applyAlignment="1" pivotButton="0" quotePrefix="0" xfId="2">
      <alignment vertical="center"/>
    </xf>
    <xf numFmtId="0" fontId="28" fillId="0" borderId="10" applyAlignment="1" pivotButton="0" quotePrefix="0" xfId="0">
      <alignment horizontal="center" vertical="center" shrinkToFit="1"/>
    </xf>
    <xf numFmtId="0" fontId="45" fillId="0" borderId="9" applyAlignment="1" pivotButton="0" quotePrefix="0" xfId="2">
      <alignment horizontal="center" vertical="center"/>
    </xf>
    <xf numFmtId="0" fontId="11" fillId="0" borderId="10" applyAlignment="1" pivotButton="0" quotePrefix="0" xfId="3">
      <alignment horizontal="center" vertical="center"/>
    </xf>
    <xf numFmtId="170" fontId="27" fillId="0" borderId="9" applyAlignment="1" pivotButton="0" quotePrefix="0" xfId="3">
      <alignment vertical="center"/>
    </xf>
    <xf numFmtId="171" fontId="27" fillId="0" borderId="9" applyAlignment="1" pivotButton="0" quotePrefix="0" xfId="1">
      <alignment vertical="center"/>
    </xf>
    <xf numFmtId="172" fontId="27" fillId="0" borderId="9" applyAlignment="1" pivotButton="0" quotePrefix="0" xfId="1">
      <alignment vertical="center"/>
    </xf>
    <xf numFmtId="170" fontId="27" fillId="0" borderId="9" applyAlignment="1" pivotButton="0" quotePrefix="0" xfId="1">
      <alignment vertical="center"/>
    </xf>
    <xf numFmtId="170" fontId="11" fillId="0" borderId="7" applyAlignment="1" pivotButton="0" quotePrefix="0" xfId="3">
      <alignment vertical="center"/>
    </xf>
    <xf numFmtId="170" fontId="11" fillId="0" borderId="13" applyAlignment="1" pivotButton="0" quotePrefix="0" xfId="2">
      <alignment vertical="center"/>
    </xf>
    <xf numFmtId="170" fontId="11" fillId="0" borderId="0" applyAlignment="1" pivotButton="0" quotePrefix="0" xfId="2">
      <alignment vertical="center"/>
    </xf>
    <xf numFmtId="170" fontId="11" fillId="0" borderId="1" applyAlignment="1" pivotButton="0" quotePrefix="0" xfId="2">
      <alignment vertical="center"/>
    </xf>
    <xf numFmtId="0" fontId="41" fillId="3" borderId="8" applyAlignment="1" pivotButton="0" quotePrefix="0" xfId="0">
      <alignment horizontal="right" vertical="center" wrapText="1"/>
    </xf>
    <xf numFmtId="171" fontId="27" fillId="0" borderId="9" applyAlignment="1" pivotButton="0" quotePrefix="0" xfId="3">
      <alignment vertical="center"/>
    </xf>
    <xf numFmtId="165" fontId="43" fillId="0" borderId="10" applyAlignment="1" pivotButton="0" quotePrefix="0" xfId="3">
      <alignment horizontal="right" vertical="center" shrinkToFit="1"/>
    </xf>
    <xf numFmtId="173" fontId="44" fillId="0" borderId="11" applyAlignment="1" pivotButton="0" quotePrefix="0" xfId="0">
      <alignment horizontal="left" vertical="center" shrinkToFit="1"/>
    </xf>
    <xf numFmtId="170" fontId="11" fillId="0" borderId="0" applyAlignment="1" pivotButton="0" quotePrefix="0" xfId="2">
      <alignment horizontal="right" vertical="center"/>
    </xf>
    <xf numFmtId="170" fontId="11" fillId="0" borderId="4" applyAlignment="1" pivotButton="0" quotePrefix="0" xfId="2">
      <alignment vertical="center"/>
    </xf>
    <xf numFmtId="170" fontId="11" fillId="0" borderId="13" applyAlignment="1" pivotButton="0" quotePrefix="0" xfId="4">
      <alignment horizontal="right" vertical="center"/>
    </xf>
    <xf numFmtId="170" fontId="11" fillId="0" borderId="17" applyAlignment="1" pivotButton="0" quotePrefix="0" xfId="2">
      <alignment vertical="center"/>
    </xf>
    <xf numFmtId="172" fontId="11" fillId="0" borderId="1" applyAlignment="1" pivotButton="0" quotePrefix="0" xfId="3">
      <alignment vertical="center"/>
    </xf>
    <xf numFmtId="174" fontId="11" fillId="0" borderId="1" applyAlignment="1" pivotButton="0" quotePrefix="0" xfId="3">
      <alignment vertical="center"/>
    </xf>
    <xf numFmtId="170" fontId="27" fillId="4" borderId="9" applyAlignment="1" pivotButton="0" quotePrefix="0" xfId="1">
      <alignment vertical="center"/>
    </xf>
    <xf numFmtId="165" fontId="43" fillId="4" borderId="10" applyAlignment="1" pivotButton="0" quotePrefix="0" xfId="3">
      <alignment horizontal="right" vertical="center" shrinkToFit="1"/>
    </xf>
    <xf numFmtId="173" fontId="44" fillId="4" borderId="11" applyAlignment="1" pivotButton="0" quotePrefix="0" xfId="0">
      <alignment horizontal="left" vertical="center" shrinkToFit="1"/>
    </xf>
    <xf numFmtId="0" fontId="45" fillId="4" borderId="9" applyAlignment="1" pivotButton="0" quotePrefix="0" xfId="2">
      <alignment horizontal="center" vertical="center"/>
    </xf>
    <xf numFmtId="0" fontId="28" fillId="4" borderId="10" applyAlignment="1" pivotButton="0" quotePrefix="0" xfId="0">
      <alignment horizontal="center" vertical="center" shrinkToFit="1"/>
    </xf>
    <xf numFmtId="0" fontId="26" fillId="4" borderId="9" applyAlignment="1" pivotButton="0" quotePrefix="0" xfId="0">
      <alignment horizontal="center" vertical="center"/>
    </xf>
    <xf numFmtId="171" fontId="27" fillId="4" borderId="9" applyAlignment="1" pivotButton="0" quotePrefix="0" xfId="3">
      <alignment vertical="center"/>
    </xf>
    <xf numFmtId="170" fontId="27" fillId="4" borderId="9" applyAlignment="1" pivotButton="0" quotePrefix="0" xfId="3">
      <alignment vertical="center"/>
    </xf>
    <xf numFmtId="171" fontId="27" fillId="4" borderId="9" applyAlignment="1" pivotButton="0" quotePrefix="0" xfId="1">
      <alignment vertical="center"/>
    </xf>
    <xf numFmtId="172" fontId="27" fillId="4" borderId="9" applyAlignment="1" pivotButton="0" quotePrefix="0" xfId="1">
      <alignment vertical="center"/>
    </xf>
    <xf numFmtId="0" fontId="41" fillId="4" borderId="8" applyAlignment="1" pivotButton="0" quotePrefix="0" xfId="0">
      <alignment vertical="center" wrapText="1"/>
    </xf>
    <xf numFmtId="169" fontId="41" fillId="4" borderId="8" applyAlignment="1" pivotButton="0" quotePrefix="0" xfId="0">
      <alignment horizontal="center" vertical="center" wrapText="1"/>
    </xf>
    <xf numFmtId="0" fontId="7" fillId="0" borderId="2" applyAlignment="1" pivotButton="0" quotePrefix="0" xfId="2">
      <alignment horizontal="center" vertical="center"/>
    </xf>
    <xf numFmtId="0" fontId="3" fillId="0" borderId="10" applyAlignment="1" pivotButton="0" quotePrefix="0" xfId="2">
      <alignment horizontal="center" vertical="center"/>
    </xf>
    <xf numFmtId="0" fontId="3" fillId="0" borderId="8" applyAlignment="1" pivotButton="0" quotePrefix="0" xfId="2">
      <alignment horizontal="center" vertical="center"/>
    </xf>
    <xf numFmtId="0" fontId="3" fillId="0" borderId="11" applyAlignment="1" pivotButton="0" quotePrefix="0" xfId="2">
      <alignment horizontal="center" vertical="center"/>
    </xf>
    <xf numFmtId="0" fontId="30" fillId="0" borderId="15" applyAlignment="1" pivotButton="0" quotePrefix="0" xfId="2">
      <alignment horizontal="left" vertical="center"/>
    </xf>
    <xf numFmtId="0" fontId="30" fillId="0" borderId="2" applyAlignment="1" pivotButton="0" quotePrefix="0" xfId="2">
      <alignment horizontal="left" vertical="center"/>
    </xf>
    <xf numFmtId="0" fontId="30" fillId="0" borderId="3" applyAlignment="1" pivotButton="0" quotePrefix="0" xfId="2">
      <alignment horizontal="left" vertical="center"/>
    </xf>
    <xf numFmtId="49" fontId="7" fillId="0" borderId="5" applyAlignment="1" pivotButton="0" quotePrefix="0" xfId="2">
      <alignment horizontal="left" vertical="top" wrapText="1" indent="1"/>
    </xf>
    <xf numFmtId="49" fontId="7" fillId="0" borderId="0" applyAlignment="1" pivotButton="0" quotePrefix="0" xfId="2">
      <alignment horizontal="left" vertical="top" wrapText="1" indent="1"/>
    </xf>
    <xf numFmtId="49" fontId="7" fillId="0" borderId="4" applyAlignment="1" pivotButton="0" quotePrefix="0" xfId="2">
      <alignment horizontal="left" vertical="top" wrapText="1" indent="1"/>
    </xf>
    <xf numFmtId="49" fontId="7" fillId="0" borderId="6" applyAlignment="1" pivotButton="0" quotePrefix="0" xfId="2">
      <alignment horizontal="left" vertical="top" wrapText="1" indent="1"/>
    </xf>
    <xf numFmtId="49" fontId="7" fillId="0" borderId="1" applyAlignment="1" pivotButton="0" quotePrefix="0" xfId="2">
      <alignment horizontal="left" vertical="top" wrapText="1" indent="1"/>
    </xf>
    <xf numFmtId="49" fontId="7" fillId="0" borderId="7" applyAlignment="1" pivotButton="0" quotePrefix="0" xfId="2">
      <alignment horizontal="left" vertical="top" wrapText="1" indent="1"/>
    </xf>
    <xf numFmtId="49" fontId="8" fillId="0" borderId="0" applyAlignment="1" pivotButton="0" quotePrefix="0" xfId="2">
      <alignment horizontal="center" vertical="center"/>
    </xf>
    <xf numFmtId="49" fontId="8" fillId="0" borderId="1" applyAlignment="1" pivotButton="0" quotePrefix="0" xfId="2">
      <alignment horizontal="center" vertical="center"/>
    </xf>
    <xf numFmtId="175" fontId="9" fillId="0" borderId="0" applyAlignment="1" pivotButton="0" quotePrefix="0" xfId="2">
      <alignment horizontal="center" vertical="center"/>
    </xf>
    <xf numFmtId="175" fontId="9" fillId="0" borderId="4" applyAlignment="1" pivotButton="0" quotePrefix="0" xfId="2">
      <alignment horizontal="center" vertical="center"/>
    </xf>
    <xf numFmtId="175" fontId="9" fillId="0" borderId="1" applyAlignment="1" pivotButton="0" quotePrefix="0" xfId="2">
      <alignment horizontal="center" vertical="center"/>
    </xf>
    <xf numFmtId="175" fontId="9" fillId="0" borderId="7" applyAlignment="1" pivotButton="0" quotePrefix="0" xfId="2">
      <alignment horizontal="center" vertical="center"/>
    </xf>
    <xf numFmtId="49" fontId="14" fillId="4" borderId="5" applyAlignment="1" pivotButton="0" quotePrefix="0" xfId="2">
      <alignment horizontal="left" vertical="center" wrapText="1" indent="1"/>
    </xf>
    <xf numFmtId="49" fontId="14" fillId="4" borderId="0" applyAlignment="1" pivotButton="0" quotePrefix="0" xfId="2">
      <alignment horizontal="left" vertical="center" wrapText="1" indent="1"/>
    </xf>
    <xf numFmtId="49" fontId="14" fillId="4" borderId="4" applyAlignment="1" pivotButton="0" quotePrefix="0" xfId="2">
      <alignment horizontal="left" vertical="center" wrapText="1" indent="1"/>
    </xf>
    <xf numFmtId="49" fontId="14" fillId="4" borderId="6" applyAlignment="1" pivotButton="0" quotePrefix="0" xfId="2">
      <alignment horizontal="left" vertical="center" wrapText="1" indent="1"/>
    </xf>
    <xf numFmtId="49" fontId="14" fillId="4" borderId="1" applyAlignment="1" pivotButton="0" quotePrefix="0" xfId="2">
      <alignment horizontal="left" vertical="center" wrapText="1" indent="1"/>
    </xf>
    <xf numFmtId="49" fontId="14" fillId="4" borderId="7" applyAlignment="1" pivotButton="0" quotePrefix="0" xfId="2">
      <alignment horizontal="left" vertical="center" wrapText="1" indent="1"/>
    </xf>
    <xf numFmtId="0" fontId="18" fillId="4" borderId="0" applyAlignment="1" pivotButton="0" quotePrefix="0" xfId="2">
      <alignment horizontal="center" vertical="center" wrapText="1"/>
    </xf>
    <xf numFmtId="0" fontId="18" fillId="4" borderId="4" applyAlignment="1" pivotButton="0" quotePrefix="0" xfId="2">
      <alignment horizontal="center" vertical="center" wrapText="1"/>
    </xf>
    <xf numFmtId="0" fontId="30" fillId="0" borderId="0" applyAlignment="1" pivotButton="0" quotePrefix="0" xfId="2">
      <alignment horizontal="left" vertical="center"/>
    </xf>
    <xf numFmtId="0" fontId="30" fillId="0" borderId="4" applyAlignment="1" pivotButton="0" quotePrefix="0" xfId="2">
      <alignment horizontal="left" vertical="center"/>
    </xf>
    <xf numFmtId="0" fontId="11" fillId="0" borderId="0" applyAlignment="1" pivotButton="0" quotePrefix="0" xfId="2">
      <alignment horizontal="center" vertical="center"/>
    </xf>
    <xf numFmtId="0" fontId="11" fillId="0" borderId="4" applyAlignment="1" pivotButton="0" quotePrefix="0" xfId="2">
      <alignment horizontal="center" vertical="center"/>
    </xf>
    <xf numFmtId="0" fontId="11" fillId="0" borderId="1" applyAlignment="1" pivotButton="0" quotePrefix="0" xfId="2">
      <alignment horizontal="center" vertical="center"/>
    </xf>
    <xf numFmtId="0" fontId="11" fillId="0" borderId="7" applyAlignment="1" pivotButton="0" quotePrefix="0" xfId="2">
      <alignment horizontal="center" vertical="center"/>
    </xf>
    <xf numFmtId="49" fontId="32" fillId="0" borderId="0" applyAlignment="1" pivotButton="0" quotePrefix="0" xfId="2">
      <alignment horizontal="center" vertical="center" wrapText="1"/>
    </xf>
    <xf numFmtId="49" fontId="36" fillId="0" borderId="0" applyAlignment="1" pivotButton="0" quotePrefix="0" xfId="2">
      <alignment horizontal="center" vertical="center" wrapText="1"/>
    </xf>
    <xf numFmtId="49" fontId="35" fillId="0" borderId="0" applyAlignment="1" pivotButton="0" quotePrefix="0" xfId="2">
      <alignment horizontal="center" vertical="center" wrapText="1"/>
    </xf>
    <xf numFmtId="49" fontId="35" fillId="0" borderId="4" applyAlignment="1" pivotButton="0" quotePrefix="0" xfId="2">
      <alignment horizontal="center" vertical="center" wrapText="1"/>
    </xf>
    <xf numFmtId="0" fontId="33" fillId="0" borderId="5" applyAlignment="1" pivotButton="0" quotePrefix="0" xfId="2">
      <alignment horizontal="center" vertical="center"/>
    </xf>
    <xf numFmtId="0" fontId="34" fillId="0" borderId="0" applyAlignment="1" pivotButton="0" quotePrefix="0" xfId="2">
      <alignment horizontal="center" vertical="center"/>
    </xf>
    <xf numFmtId="0" fontId="34" fillId="0" borderId="4" applyAlignment="1" pivotButton="0" quotePrefix="0" xfId="2">
      <alignment horizontal="center" vertical="center"/>
    </xf>
    <xf numFmtId="0" fontId="34" fillId="0" borderId="5" applyAlignment="1" pivotButton="0" quotePrefix="0" xfId="2">
      <alignment horizontal="center" vertical="center"/>
    </xf>
    <xf numFmtId="0" fontId="16" fillId="0" borderId="5" applyAlignment="1" pivotButton="0" quotePrefix="0" xfId="2">
      <alignment horizontal="center" vertical="center" wrapText="1"/>
    </xf>
    <xf numFmtId="0" fontId="17" fillId="0" borderId="0" applyAlignment="1" pivotButton="0" quotePrefix="0" xfId="2">
      <alignment horizontal="center" vertical="center" wrapText="1"/>
    </xf>
    <xf numFmtId="0" fontId="17" fillId="0" borderId="5" applyAlignment="1" pivotButton="0" quotePrefix="0" xfId="2">
      <alignment horizontal="center" vertical="center" wrapText="1"/>
    </xf>
    <xf numFmtId="0" fontId="11" fillId="4" borderId="6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49" fontId="29" fillId="4" borderId="6" applyAlignment="1" pivotButton="0" quotePrefix="0" xfId="0">
      <alignment horizontal="center" vertical="center"/>
    </xf>
    <xf numFmtId="49" fontId="29" fillId="4" borderId="1" applyAlignment="1" pivotButton="0" quotePrefix="0" xfId="0">
      <alignment horizontal="center" vertical="center"/>
    </xf>
    <xf numFmtId="0" fontId="7" fillId="0" borderId="5" applyAlignment="1" pivotButton="0" quotePrefix="0" xfId="2">
      <alignment horizontal="center" vertical="center"/>
    </xf>
    <xf numFmtId="0" fontId="7" fillId="0" borderId="0" applyAlignment="1" pivotButton="0" quotePrefix="0" xfId="2">
      <alignment horizontal="center" vertical="center"/>
    </xf>
    <xf numFmtId="0" fontId="7" fillId="0" borderId="6" applyAlignment="1" pivotButton="0" quotePrefix="0" xfId="2">
      <alignment horizontal="center" vertical="center"/>
    </xf>
    <xf numFmtId="0" fontId="7" fillId="0" borderId="1" applyAlignment="1" pivotButton="0" quotePrefix="0" xfId="2">
      <alignment horizontal="center" vertical="center"/>
    </xf>
    <xf numFmtId="0" fontId="24" fillId="3" borderId="10" applyAlignment="1" pivotButton="0" quotePrefix="0" xfId="0">
      <alignment vertical="center" wrapText="1"/>
    </xf>
    <xf numFmtId="0" fontId="24" fillId="3" borderId="8" applyAlignment="1" pivotButton="0" quotePrefix="0" xfId="0">
      <alignment vertical="center" wrapText="1"/>
    </xf>
    <xf numFmtId="0" fontId="24" fillId="3" borderId="11" applyAlignment="1" pivotButton="0" quotePrefix="0" xfId="0">
      <alignment vertical="center" wrapText="1"/>
    </xf>
    <xf numFmtId="0" fontId="23" fillId="2" borderId="2" applyAlignment="1" pivotButton="0" quotePrefix="0" xfId="2">
      <alignment horizontal="center" vertical="center"/>
    </xf>
    <xf numFmtId="0" fontId="20" fillId="0" borderId="6" applyAlignment="1" pivotButton="0" quotePrefix="0" xfId="2">
      <alignment horizontal="center" vertical="center"/>
    </xf>
    <xf numFmtId="0" fontId="20" fillId="0" borderId="1" applyAlignment="1" pivotButton="0" quotePrefix="0" xfId="2">
      <alignment horizontal="center" vertical="center"/>
    </xf>
    <xf numFmtId="0" fontId="11" fillId="0" borderId="1" applyAlignment="1" pivotButton="0" quotePrefix="0" xfId="2">
      <alignment horizontal="left" vertical="center"/>
    </xf>
    <xf numFmtId="0" fontId="18" fillId="4" borderId="1" applyAlignment="1" pivotButton="0" quotePrefix="0" xfId="2">
      <alignment horizontal="center" vertical="center" wrapText="1"/>
    </xf>
    <xf numFmtId="0" fontId="18" fillId="4" borderId="7" applyAlignment="1" pivotButton="0" quotePrefix="0" xfId="2">
      <alignment horizontal="center" vertical="center" wrapText="1"/>
    </xf>
    <xf numFmtId="0" fontId="41" fillId="3" borderId="8" applyAlignment="1" pivotButton="0" quotePrefix="0" xfId="0">
      <alignment vertical="center" wrapText="1"/>
    </xf>
    <xf numFmtId="0" fontId="41" fillId="3" borderId="11" applyAlignment="1" pivotButton="0" quotePrefix="0" xfId="0">
      <alignment vertical="center" wrapText="1"/>
    </xf>
    <xf numFmtId="0" fontId="25" fillId="0" borderId="2" applyAlignment="1" pivotButton="0" quotePrefix="0" xfId="2">
      <alignment horizontal="center" vertical="center"/>
    </xf>
    <xf numFmtId="0" fontId="15" fillId="0" borderId="12" applyAlignment="1" pivotButton="0" quotePrefix="0" xfId="2">
      <alignment horizontal="center" vertical="center"/>
    </xf>
    <xf numFmtId="0" fontId="11" fillId="0" borderId="13" applyAlignment="1" pivotButton="0" quotePrefix="0" xfId="2">
      <alignment horizontal="left" vertical="center"/>
    </xf>
    <xf numFmtId="0" fontId="19" fillId="0" borderId="5" applyAlignment="1" pivotButton="0" quotePrefix="0" xfId="2">
      <alignment horizontal="center" vertical="center" wrapText="1"/>
    </xf>
    <xf numFmtId="0" fontId="19" fillId="0" borderId="0" applyAlignment="1" pivotButton="0" quotePrefix="0" xfId="2">
      <alignment horizontal="center" vertical="center" wrapText="1"/>
    </xf>
    <xf numFmtId="0" fontId="19" fillId="0" borderId="6" applyAlignment="1" pivotButton="0" quotePrefix="0" xfId="2">
      <alignment horizontal="center" vertical="center" wrapText="1"/>
    </xf>
    <xf numFmtId="0" fontId="19" fillId="0" borderId="1" applyAlignment="1" pivotButton="0" quotePrefix="0" xfId="2">
      <alignment horizontal="center" vertical="center" wrapText="1"/>
    </xf>
    <xf numFmtId="0" fontId="46" fillId="4" borderId="2" applyAlignment="1" pivotButton="0" quotePrefix="0" xfId="2">
      <alignment horizontal="center" vertical="center"/>
    </xf>
    <xf numFmtId="0" fontId="46" fillId="4" borderId="3" applyAlignment="1" pivotButton="0" quotePrefix="0" xfId="2">
      <alignment horizontal="center" vertical="center"/>
    </xf>
    <xf numFmtId="0" fontId="46" fillId="4" borderId="12" applyAlignment="1" pivotButton="0" quotePrefix="0" xfId="2">
      <alignment horizontal="center" vertical="center"/>
    </xf>
    <xf numFmtId="0" fontId="46" fillId="4" borderId="14" applyAlignment="1" pivotButton="0" quotePrefix="0" xfId="2">
      <alignment horizontal="center" vertical="center"/>
    </xf>
    <xf numFmtId="0" fontId="41" fillId="3" borderId="10" applyAlignment="1" pivotButton="0" quotePrefix="0" xfId="0">
      <alignment horizontal="right" vertical="center" wrapText="1"/>
    </xf>
    <xf numFmtId="0" fontId="41" fillId="3" borderId="8" applyAlignment="1" pivotButton="0" quotePrefix="0" xfId="0">
      <alignment horizontal="right" vertical="center" wrapText="1"/>
    </xf>
    <xf numFmtId="0" fontId="11" fillId="0" borderId="13" applyAlignment="1" pivotButton="0" quotePrefix="0" xfId="2">
      <alignment horizontal="right" vertical="center"/>
    </xf>
    <xf numFmtId="0" fontId="6" fillId="4" borderId="0" applyAlignment="1" pivotButton="0" quotePrefix="0" xfId="2">
      <alignment horizontal="center" vertical="center"/>
    </xf>
    <xf numFmtId="0" fontId="7" fillId="0" borderId="9" applyAlignment="1" pivotButton="0" quotePrefix="0" xfId="0">
      <alignment horizontal="center" vertical="center"/>
    </xf>
    <xf numFmtId="49" fontId="12" fillId="0" borderId="0" applyAlignment="1" pivotButton="0" quotePrefix="0" xfId="2">
      <alignment horizontal="center" vertical="center" wrapText="1"/>
    </xf>
    <xf numFmtId="49" fontId="13" fillId="0" borderId="0" applyAlignment="1" pivotButton="0" quotePrefix="0" xfId="2">
      <alignment horizontal="center" vertical="center" wrapText="1"/>
    </xf>
    <xf numFmtId="49" fontId="13" fillId="0" borderId="4" applyAlignment="1" pivotButton="0" quotePrefix="0" xfId="2">
      <alignment horizontal="center" vertical="center" wrapText="1"/>
    </xf>
    <xf numFmtId="0" fontId="11" fillId="0" borderId="9" applyAlignment="1" pivotButton="0" quotePrefix="0" xfId="2">
      <alignment horizontal="center" vertical="center"/>
    </xf>
    <xf numFmtId="49" fontId="29" fillId="0" borderId="10" applyAlignment="1" pivotButton="0" quotePrefix="0" xfId="0">
      <alignment horizontal="center" vertical="center"/>
    </xf>
    <xf numFmtId="49" fontId="29" fillId="0" borderId="11" applyAlignment="1" pivotButton="0" quotePrefix="0" xfId="0">
      <alignment horizontal="center" vertical="center"/>
    </xf>
    <xf numFmtId="0" fontId="11" fillId="0" borderId="9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11" fillId="0" borderId="18" applyAlignment="1" pivotButton="0" quotePrefix="0" xfId="2">
      <alignment horizontal="right" vertical="center"/>
    </xf>
    <xf numFmtId="0" fontId="11" fillId="0" borderId="12" applyAlignment="1" pivotButton="0" quotePrefix="0" xfId="2">
      <alignment horizontal="right" vertical="center"/>
    </xf>
    <xf numFmtId="0" fontId="11" fillId="0" borderId="15" applyAlignment="1" pivotButton="0" quotePrefix="0" xfId="2">
      <alignment horizontal="right" vertical="center"/>
    </xf>
    <xf numFmtId="0" fontId="11" fillId="0" borderId="2" applyAlignment="1" pivotButton="0" quotePrefix="0" xfId="2">
      <alignment horizontal="right" vertical="center"/>
    </xf>
    <xf numFmtId="0" fontId="11" fillId="0" borderId="8" applyAlignment="1" pivotButton="0" quotePrefix="0" xfId="2">
      <alignment horizontal="right" vertical="center"/>
    </xf>
    <xf numFmtId="0" fontId="42" fillId="0" borderId="9" applyAlignment="1" pivotButton="0" quotePrefix="0" xfId="2">
      <alignment horizontal="center" vertical="center"/>
    </xf>
    <xf numFmtId="0" fontId="6" fillId="0" borderId="0" applyAlignment="1" pivotButton="0" quotePrefix="0" xfId="2">
      <alignment horizontal="center" vertical="center" wrapText="1"/>
    </xf>
    <xf numFmtId="0" fontId="0" fillId="0" borderId="0" pivotButton="0" quotePrefix="0" xfId="0"/>
    <xf numFmtId="0" fontId="3" fillId="0" borderId="9" applyAlignment="1" pivotButton="0" quotePrefix="0" xfId="2">
      <alignment horizontal="center" vertical="center"/>
    </xf>
    <xf numFmtId="0" fontId="0" fillId="0" borderId="8" pivotButton="0" quotePrefix="0" xfId="0"/>
    <xf numFmtId="0" fontId="0" fillId="0" borderId="11" pivotButton="0" quotePrefix="0" xfId="0"/>
    <xf numFmtId="0" fontId="30" fillId="0" borderId="21" applyAlignment="1" pivotButton="0" quotePrefix="0" xfId="2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49" fontId="29" fillId="0" borderId="9" applyAlignment="1" pivotButton="0" quotePrefix="0" xfId="0">
      <alignment horizontal="center" vertical="center"/>
    </xf>
    <xf numFmtId="49" fontId="7" fillId="0" borderId="24" applyAlignment="1" pivotButton="0" quotePrefix="0" xfId="2">
      <alignment horizontal="left" vertical="top" wrapText="1" indent="1"/>
    </xf>
    <xf numFmtId="0" fontId="0" fillId="0" borderId="4" pivotButton="0" quotePrefix="0" xfId="0"/>
    <xf numFmtId="175" fontId="9" fillId="0" borderId="7" applyAlignment="1" pivotButton="0" quotePrefix="0" xfId="2">
      <alignment horizontal="center" vertical="center"/>
    </xf>
    <xf numFmtId="0" fontId="0" fillId="0" borderId="5" pivotButton="0" quotePrefix="0" xfId="0"/>
    <xf numFmtId="0" fontId="0" fillId="0" borderId="1" pivotButton="0" quotePrefix="0" xfId="0"/>
    <xf numFmtId="0" fontId="0" fillId="0" borderId="7" pivotButton="0" quotePrefix="0" xfId="0"/>
    <xf numFmtId="0" fontId="0" fillId="0" borderId="6" pivotButton="0" quotePrefix="0" xfId="0"/>
    <xf numFmtId="49" fontId="14" fillId="4" borderId="24" applyAlignment="1" pivotButton="0" quotePrefix="0" xfId="2">
      <alignment horizontal="left" vertical="center" wrapText="1" indent="1"/>
    </xf>
    <xf numFmtId="49" fontId="12" fillId="0" borderId="4" applyAlignment="1" pivotButton="0" quotePrefix="0" xfId="2">
      <alignment horizontal="center" vertical="center" wrapText="1"/>
    </xf>
    <xf numFmtId="49" fontId="36" fillId="0" borderId="4" applyAlignment="1" pivotButton="0" quotePrefix="0" xfId="2">
      <alignment horizontal="center" vertical="center" wrapText="1"/>
    </xf>
    <xf numFmtId="0" fontId="33" fillId="0" borderId="23" applyAlignment="1" pivotButton="0" quotePrefix="0" xfId="2">
      <alignment horizontal="center" vertical="center"/>
    </xf>
    <xf numFmtId="166" fontId="23" fillId="2" borderId="8" applyAlignment="1" pivotButton="0" quotePrefix="0" xfId="2">
      <alignment horizontal="center" vertical="center" wrapText="1"/>
    </xf>
    <xf numFmtId="164" fontId="23" fillId="2" borderId="8" applyAlignment="1" pivotButton="0" quotePrefix="0" xfId="2">
      <alignment horizontal="center" vertical="center"/>
    </xf>
    <xf numFmtId="167" fontId="23" fillId="2" borderId="8" applyAlignment="1" pivotButton="0" quotePrefix="0" xfId="2">
      <alignment horizontal="center" vertical="center" wrapText="1"/>
    </xf>
    <xf numFmtId="165" fontId="23" fillId="2" borderId="11" applyAlignment="1" pivotButton="0" quotePrefix="0" xfId="3">
      <alignment horizontal="center" vertical="center" wrapText="1"/>
    </xf>
    <xf numFmtId="165" fontId="6" fillId="0" borderId="0" applyAlignment="1" pivotButton="0" quotePrefix="0" xfId="3">
      <alignment vertical="center"/>
    </xf>
    <xf numFmtId="165" fontId="21" fillId="0" borderId="0" applyAlignment="1" pivotButton="0" quotePrefix="0" xfId="3">
      <alignment vertical="center"/>
    </xf>
    <xf numFmtId="165" fontId="43" fillId="4" borderId="10" applyAlignment="1" pivotButton="0" quotePrefix="0" xfId="3">
      <alignment horizontal="right" vertical="center" shrinkToFit="1"/>
    </xf>
    <xf numFmtId="173" fontId="44" fillId="4" borderId="11" applyAlignment="1" pivotButton="0" quotePrefix="0" xfId="0">
      <alignment horizontal="left" vertical="center" shrinkToFit="1"/>
    </xf>
    <xf numFmtId="171" fontId="27" fillId="4" borderId="9" applyAlignment="1" pivotButton="0" quotePrefix="0" xfId="3">
      <alignment vertical="center"/>
    </xf>
    <xf numFmtId="170" fontId="27" fillId="4" borderId="9" applyAlignment="1" pivotButton="0" quotePrefix="0" xfId="3">
      <alignment vertical="center"/>
    </xf>
    <xf numFmtId="171" fontId="27" fillId="4" borderId="9" applyAlignment="1" pivotButton="0" quotePrefix="0" xfId="1">
      <alignment vertical="center"/>
    </xf>
    <xf numFmtId="172" fontId="27" fillId="4" borderId="9" applyAlignment="1" pivotButton="0" quotePrefix="0" xfId="1">
      <alignment vertical="center"/>
    </xf>
    <xf numFmtId="170" fontId="27" fillId="4" borderId="9" applyAlignment="1" pivotButton="0" quotePrefix="0" xfId="1">
      <alignment vertical="center"/>
    </xf>
    <xf numFmtId="168" fontId="37" fillId="0" borderId="0" applyAlignment="1" pivotButton="0" quotePrefix="0" xfId="2">
      <alignment vertical="center"/>
    </xf>
    <xf numFmtId="165" fontId="11" fillId="0" borderId="9" applyAlignment="1" pivotButton="0" quotePrefix="0" xfId="3">
      <alignment horizontal="center" vertical="center"/>
    </xf>
    <xf numFmtId="169" fontId="41" fillId="4" borderId="8" applyAlignment="1" pivotButton="0" quotePrefix="0" xfId="0">
      <alignment horizontal="center" vertical="center" wrapText="1"/>
    </xf>
    <xf numFmtId="165" fontId="11" fillId="0" borderId="10" applyAlignment="1" pivotButton="0" quotePrefix="0" xfId="3">
      <alignment horizontal="center" vertical="center"/>
    </xf>
    <xf numFmtId="0" fontId="24" fillId="3" borderId="9" applyAlignment="1" pivotButton="0" quotePrefix="0" xfId="0">
      <alignment vertical="center" wrapText="1"/>
    </xf>
    <xf numFmtId="165" fontId="42" fillId="0" borderId="9" applyAlignment="1" pivotButton="0" quotePrefix="0" xfId="3">
      <alignment horizontal="center" vertical="center"/>
    </xf>
    <xf numFmtId="165" fontId="43" fillId="0" borderId="10" applyAlignment="1" pivotButton="0" quotePrefix="0" xfId="3">
      <alignment horizontal="right" vertical="center" shrinkToFit="1"/>
    </xf>
    <xf numFmtId="173" fontId="44" fillId="0" borderId="11" applyAlignment="1" pivotButton="0" quotePrefix="0" xfId="0">
      <alignment horizontal="left" vertical="center" shrinkToFit="1"/>
    </xf>
    <xf numFmtId="171" fontId="27" fillId="0" borderId="9" applyAlignment="1" pivotButton="0" quotePrefix="0" xfId="3">
      <alignment vertical="center"/>
    </xf>
    <xf numFmtId="170" fontId="27" fillId="0" borderId="9" applyAlignment="1" pivotButton="0" quotePrefix="0" xfId="3">
      <alignment vertical="center"/>
    </xf>
    <xf numFmtId="171" fontId="27" fillId="0" borderId="9" applyAlignment="1" pivotButton="0" quotePrefix="0" xfId="1">
      <alignment vertical="center"/>
    </xf>
    <xf numFmtId="172" fontId="27" fillId="0" borderId="9" applyAlignment="1" pivotButton="0" quotePrefix="0" xfId="1">
      <alignment vertical="center"/>
    </xf>
    <xf numFmtId="170" fontId="27" fillId="0" borderId="9" applyAlignment="1" pivotButton="0" quotePrefix="0" xfId="1">
      <alignment vertical="center"/>
    </xf>
    <xf numFmtId="169" fontId="41" fillId="3" borderId="8" applyAlignment="1" pivotButton="0" quotePrefix="0" xfId="0">
      <alignment horizontal="center" vertical="center" wrapText="1"/>
    </xf>
    <xf numFmtId="165" fontId="11" fillId="0" borderId="1" applyAlignment="1" pivotButton="0" quotePrefix="0" xfId="2">
      <alignment horizontal="center" vertical="center"/>
    </xf>
    <xf numFmtId="170" fontId="11" fillId="0" borderId="1" applyAlignment="1" pivotButton="0" quotePrefix="0" xfId="2">
      <alignment vertical="center"/>
    </xf>
    <xf numFmtId="174" fontId="11" fillId="0" borderId="1" applyAlignment="1" pivotButton="0" quotePrefix="0" xfId="3">
      <alignment vertical="center"/>
    </xf>
    <xf numFmtId="172" fontId="11" fillId="0" borderId="1" applyAlignment="1" pivotButton="0" quotePrefix="0" xfId="3">
      <alignment vertical="center"/>
    </xf>
    <xf numFmtId="170" fontId="11" fillId="0" borderId="7" applyAlignment="1" pivotButton="0" quotePrefix="0" xfId="3">
      <alignment vertical="center"/>
    </xf>
    <xf numFmtId="0" fontId="46" fillId="4" borderId="22" applyAlignment="1" pivotButton="0" quotePrefix="0" xfId="2">
      <alignment horizontal="center" vertical="center"/>
    </xf>
    <xf numFmtId="0" fontId="25" fillId="0" borderId="19" applyAlignment="1" pivotButton="0" quotePrefix="0" xfId="2">
      <alignment horizontal="center" vertical="center"/>
    </xf>
    <xf numFmtId="170" fontId="11" fillId="0" borderId="0" applyAlignment="1" pivotButton="0" quotePrefix="0" xfId="2">
      <alignment vertical="center"/>
    </xf>
    <xf numFmtId="170" fontId="11" fillId="0" borderId="0" applyAlignment="1" pivotButton="0" quotePrefix="0" xfId="2">
      <alignment horizontal="right" vertical="center"/>
    </xf>
    <xf numFmtId="170" fontId="11" fillId="0" borderId="4" applyAlignment="1" pivotButton="0" quotePrefix="0" xfId="2">
      <alignment vertical="center"/>
    </xf>
    <xf numFmtId="0" fontId="0" fillId="0" borderId="12" pivotButton="0" quotePrefix="0" xfId="0"/>
    <xf numFmtId="0" fontId="0" fillId="0" borderId="14" pivotButton="0" quotePrefix="0" xfId="0"/>
    <xf numFmtId="0" fontId="0" fillId="0" borderId="13" pivotButton="0" quotePrefix="0" xfId="0"/>
    <xf numFmtId="170" fontId="11" fillId="0" borderId="13" applyAlignment="1" pivotButton="0" quotePrefix="0" xfId="2">
      <alignment vertical="center"/>
    </xf>
    <xf numFmtId="170" fontId="11" fillId="0" borderId="13" applyAlignment="1" pivotButton="0" quotePrefix="0" xfId="4">
      <alignment horizontal="right" vertical="center"/>
    </xf>
    <xf numFmtId="170" fontId="11" fillId="0" borderId="17" applyAlignment="1" pivotButton="0" quotePrefix="0" xfId="2">
      <alignment vertical="center"/>
    </xf>
  </cellXfs>
  <cellStyles count="5">
    <cellStyle name="표준" xfId="0" builtinId="0"/>
    <cellStyle name="쉼표 [0]" xfId="1" builtinId="6"/>
    <cellStyle name="표준 15" xfId="2"/>
    <cellStyle name="쉼표 [0] 2 2 3" xfId="3"/>
    <cellStyle name="통화 [0] 2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externalLink" Target="/xl/externalLinks/externalLink2.xml" Id="rId3"/><Relationship Type="http://schemas.openxmlformats.org/officeDocument/2006/relationships/externalLink" Target="/xl/externalLinks/externalLink3.xml" Id="rId4"/><Relationship Type="http://schemas.openxmlformats.org/officeDocument/2006/relationships/externalLink" Target="/xl/externalLinks/externalLink4.xml" Id="rId5"/><Relationship Type="http://schemas.openxmlformats.org/officeDocument/2006/relationships/externalLink" Target="/xl/externalLinks/externalLink5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7</col>
      <colOff>448421</colOff>
      <row>39</row>
      <rowOff>33179</rowOff>
    </from>
    <to>
      <col>11</col>
      <colOff>139969</colOff>
      <row>45</row>
      <rowOff>71530</rowOff>
    </to>
    <pic>
      <nvPicPr>
        <cNvPr id="2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5803588" y="11854762"/>
          <a:ext cx="2760713" cy="130835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E:\Users\man\Downloads\&#50808;&#54872;&#45236;&#50669;\&#53685;&#51109;%20&#47532;&#49828;&#53944;\2016%20&#45380;&#46020;%20&#49457;&#49888;&#47924;&#50669;%20&#54788;&#54889;&#54364;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F:\Company\1000\2002&#45380;&#51648;&#52636;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D:\2017&#45380;%20&#49688;&#52636;&#54788;&#54889;.xlsm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../../../../../../../../2017&#45380;%20&#49688;&#52636;&#54788;&#54889;.xlsm" TargetMode="External" Id="rId2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J:\Company\1000\2002&#45380;&#51648;&#52636;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현황판"/>
      <sheetName val="입출고"/>
      <sheetName val="차량말소신청서"/>
      <sheetName val="사업자등록증"/>
      <sheetName val="계약서"/>
      <sheetName val="매매계약서"/>
      <sheetName val="매매계약서 수출용"/>
      <sheetName val="2016 년도 성신무역 현황표"/>
      <sheetName val="매매계약서_수출용"/>
      <sheetName val="2016_년도_성신무역_현황표"/>
      <sheetName val="매매계약서_수출용1"/>
      <sheetName val="2016_년도_성신무역_현황표1"/>
      <sheetName val="매매계약서_수출용2"/>
      <sheetName val="2016_년도_성신무역_현황표2"/>
      <sheetName val="매매계약서_수출용3"/>
      <sheetName val="2016_년도_성신무역_현황표3"/>
      <sheetName val="매매계약서_수출용4"/>
      <sheetName val="2016_년도_성신무역_현황표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12 (3)"/>
      <sheetName val="1"/>
      <sheetName val="1(2)"/>
      <sheetName val="2"/>
      <sheetName val="2 (2)"/>
      <sheetName val="3"/>
      <sheetName val="3(2)"/>
      <sheetName val="4"/>
      <sheetName val="4 (2)"/>
      <sheetName val="5"/>
      <sheetName val="5 (2)"/>
      <sheetName val="6"/>
      <sheetName val="6 (2)"/>
      <sheetName val="7"/>
      <sheetName val="7 (2)"/>
      <sheetName val="8"/>
      <sheetName val="8 (2)"/>
      <sheetName val="9"/>
      <sheetName val="9 (2)"/>
      <sheetName val="10"/>
      <sheetName val="10 (2)"/>
      <sheetName val="11"/>
      <sheetName val="11 (2)"/>
      <sheetName val="12"/>
      <sheetName val="12 (2)"/>
      <sheetName val="집계표"/>
      <sheetName val="잔액"/>
      <sheetName val="12_(3)"/>
      <sheetName val="2_(2)"/>
      <sheetName val="4_(2)"/>
      <sheetName val="5_(2)"/>
      <sheetName val="6_(2)"/>
      <sheetName val="7_(2)"/>
      <sheetName val="8_(2)"/>
      <sheetName val="9_(2)"/>
      <sheetName val="10_(2)"/>
      <sheetName val="11_(2)"/>
      <sheetName val="12_(2)"/>
      <sheetName val="12_(3)1"/>
      <sheetName val="2_(2)1"/>
      <sheetName val="4_(2)1"/>
      <sheetName val="5_(2)1"/>
      <sheetName val="6_(2)1"/>
      <sheetName val="7_(2)1"/>
      <sheetName val="8_(2)1"/>
      <sheetName val="9_(2)1"/>
      <sheetName val="10_(2)1"/>
      <sheetName val="11_(2)1"/>
      <sheetName val="12_(2)1"/>
      <sheetName val="12_(3)2"/>
      <sheetName val="2_(2)2"/>
      <sheetName val="4_(2)2"/>
      <sheetName val="5_(2)2"/>
      <sheetName val="6_(2)2"/>
      <sheetName val="7_(2)2"/>
      <sheetName val="8_(2)2"/>
      <sheetName val="9_(2)2"/>
      <sheetName val="10_(2)2"/>
      <sheetName val="11_(2)2"/>
      <sheetName val="12_(2)2"/>
      <sheetName val="12_(3)3"/>
      <sheetName val="2_(2)3"/>
      <sheetName val="4_(2)3"/>
      <sheetName val="5_(2)3"/>
      <sheetName val="6_(2)3"/>
      <sheetName val="7_(2)3"/>
      <sheetName val="8_(2)3"/>
      <sheetName val="9_(2)3"/>
      <sheetName val="10_(2)3"/>
      <sheetName val="11_(2)3"/>
      <sheetName val="12_(2)3"/>
      <sheetName val="12_(3)4"/>
      <sheetName val="2_(2)4"/>
      <sheetName val="4_(2)4"/>
      <sheetName val="5_(2)4"/>
      <sheetName val="6_(2)4"/>
      <sheetName val="7_(2)4"/>
      <sheetName val="8_(2)4"/>
      <sheetName val="9_(2)4"/>
      <sheetName val="10_(2)4"/>
      <sheetName val="11_(2)4"/>
      <sheetName val="12_(2)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 refreshError="1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20161130이후"/>
      <sheetName val="CarName_INPUT입력"/>
      <sheetName val="쉬핑마크 (2)"/>
      <sheetName val="쉬핑마크"/>
      <sheetName val="계약서"/>
      <sheetName val="쉬핑INVOICE"/>
      <sheetName val="수출현황_종합"/>
      <sheetName val="부품"/>
      <sheetName val="차량매입경비신청서 (2)"/>
      <sheetName val="신한 원화"/>
      <sheetName val="코리아 원화"/>
      <sheetName val="차량매입경비신청서"/>
      <sheetName val="면장신청"/>
      <sheetName val="Sheet2"/>
      <sheetName val="Sheet3"/>
      <sheetName val="말소신청서"/>
      <sheetName val="월말신고"/>
      <sheetName val="구매선적일보"/>
      <sheetName val="매입현황 보고"/>
      <sheetName val="재고관리"/>
      <sheetName val="말소증"/>
      <sheetName val="매매계약서"/>
      <sheetName val="면장주소"/>
      <sheetName val="현금영수증"/>
      <sheetName val="이행신고서"/>
      <sheetName val="개인정보"/>
      <sheetName val="Sheet1"/>
      <sheetName val="쉬핑마크_(2)"/>
      <sheetName val="차량매입경비신청서_(2)"/>
      <sheetName val="신한_원화"/>
      <sheetName val="코리아_원화"/>
      <sheetName val="매입현황_보고"/>
      <sheetName val="쉬핑마크_(2)1"/>
      <sheetName val="차량매입경비신청서_(2)1"/>
      <sheetName val="신한_원화1"/>
      <sheetName val="코리아_원화1"/>
      <sheetName val="매입현황_보고1"/>
      <sheetName val="쉬핑마크_(2)2"/>
      <sheetName val="차량매입경비신청서_(2)2"/>
      <sheetName val="신한_원화2"/>
      <sheetName val="코리아_원화2"/>
      <sheetName val="매입현황_보고2"/>
      <sheetName val="쉬핑마크_(2)3"/>
      <sheetName val="차량매입경비신청서_(2)3"/>
      <sheetName val="신한_원화3"/>
      <sheetName val="코리아_원화3"/>
      <sheetName val="매입현황_보고3"/>
      <sheetName val="쉬핑마크_(2)4"/>
      <sheetName val="차량매입경비신청서_(2)4"/>
      <sheetName val="신한_원화4"/>
      <sheetName val="코리아_원화4"/>
      <sheetName val="매입현황_보고4"/>
    </sheetNames>
    <sheetDataSet>
      <sheetData sheetId="0"/>
      <sheetData sheetId="1">
        <row r="4">
          <cell r="A4" t="str">
            <v>차명</v>
          </cell>
        </row>
      </sheetData>
      <sheetData sheetId="2"/>
      <sheetData sheetId="3"/>
      <sheetData sheetId="4"/>
      <sheetData sheetId="5"/>
      <sheetData sheetId="6">
        <row r="2">
          <cell r="G2" t="str">
            <v>C142</v>
          </cell>
        </row>
        <row r="3">
          <cell r="B3">
            <v>2017</v>
          </cell>
          <cell r="C3">
            <v>5</v>
          </cell>
          <cell r="G3">
            <v>0</v>
          </cell>
          <cell r="J3">
            <v>42856</v>
          </cell>
        </row>
        <row r="4">
          <cell r="J4">
            <v>5</v>
          </cell>
        </row>
        <row r="12"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Q12">
            <v>0</v>
          </cell>
          <cell r="R12">
            <v>0</v>
          </cell>
          <cell r="S12">
            <v>0</v>
          </cell>
          <cell r="T12">
            <v>29</v>
          </cell>
          <cell r="U12">
            <v>0</v>
          </cell>
          <cell r="V12">
            <v>0</v>
          </cell>
          <cell r="X12">
            <v>0</v>
          </cell>
          <cell r="Y12">
            <v>0</v>
          </cell>
          <cell r="Z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</row>
        <row r="13">
          <cell r="B13">
            <v>0</v>
          </cell>
          <cell r="C13">
            <v>0</v>
          </cell>
          <cell r="D13" t="str">
            <v>매매계약서</v>
          </cell>
          <cell r="E13">
            <v>0</v>
          </cell>
          <cell r="F13">
            <v>0</v>
          </cell>
          <cell r="G13">
            <v>0</v>
          </cell>
          <cell r="H13" t="str">
            <v>재고</v>
          </cell>
          <cell r="I13">
            <v>281</v>
          </cell>
          <cell r="J13">
            <v>0</v>
          </cell>
          <cell r="K13">
            <v>0</v>
          </cell>
          <cell r="L13">
            <v>25</v>
          </cell>
          <cell r="M13">
            <v>0</v>
          </cell>
          <cell r="N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 t="str">
            <v>전체</v>
          </cell>
        </row>
        <row r="14">
          <cell r="B14" t="str">
            <v>구분입력</v>
          </cell>
          <cell r="C14" t="str">
            <v>2회사</v>
          </cell>
          <cell r="D14" t="str">
            <v>3번호</v>
          </cell>
          <cell r="E14" t="str">
            <v>4날짜</v>
          </cell>
          <cell r="F14" t="str">
            <v>5차번</v>
          </cell>
          <cell r="G14" t="str">
            <v>6차명</v>
          </cell>
          <cell r="H14" t="str">
            <v>7연식</v>
          </cell>
          <cell r="I14" t="str">
            <v>8세금계산서</v>
          </cell>
          <cell r="J14" t="str">
            <v>9면장액</v>
          </cell>
          <cell r="K14" t="str">
            <v>10매입액</v>
          </cell>
          <cell r="L14" t="str">
            <v>11등록번호</v>
          </cell>
          <cell r="M14" t="str">
            <v>12매출일</v>
          </cell>
          <cell r="N14" t="str">
            <v>13차대번호</v>
          </cell>
          <cell r="O14" t="str">
            <v>14말소일</v>
          </cell>
          <cell r="P14" t="str">
            <v>15관청</v>
          </cell>
          <cell r="Q14" t="str">
            <v>16메모</v>
          </cell>
          <cell r="R14" t="str">
            <v>17면장</v>
          </cell>
          <cell r="S14" t="str">
            <v>18면장번호</v>
          </cell>
          <cell r="T14" t="str">
            <v>선적
업체20</v>
          </cell>
          <cell r="U14" t="str">
            <v>b/l no.21</v>
          </cell>
          <cell r="V14" t="str">
            <v>21색깔</v>
          </cell>
          <cell r="W14" t="str">
            <v>도착지22</v>
          </cell>
          <cell r="X14" t="str">
            <v>바이어23</v>
          </cell>
          <cell r="Y14" t="str">
            <v>CONSIGNEE24</v>
          </cell>
          <cell r="Z14" t="str">
            <v>팩스25</v>
          </cell>
          <cell r="AA14" t="str">
            <v>바이어전화번호26</v>
          </cell>
          <cell r="AB14" t="str">
            <v>판매금액27</v>
          </cell>
          <cell r="AC14" t="str">
            <v>계약금28</v>
          </cell>
          <cell r="AD14" t="str">
            <v>잔금29</v>
          </cell>
          <cell r="AE14" t="str">
            <v>주행거리30</v>
          </cell>
          <cell r="AF14" t="str">
            <v>사업자&amp;환급여부31</v>
          </cell>
          <cell r="AG14" t="str">
            <v>수출이행32</v>
          </cell>
          <cell r="AH14" t="str">
            <v>계산서/환급33</v>
          </cell>
          <cell r="AI14" t="str">
            <v>차주성명34</v>
          </cell>
          <cell r="AJ14" t="str">
            <v>주민등록번호35</v>
          </cell>
          <cell r="AK14" t="str">
            <v>주소36</v>
          </cell>
          <cell r="AL14" t="str">
            <v>성명37</v>
          </cell>
        </row>
        <row r="15">
          <cell r="B15">
            <v>530</v>
          </cell>
          <cell r="C15" t="str">
            <v>성신</v>
          </cell>
          <cell r="D15" t="str">
            <v xml:space="preserve"> / No.1</v>
          </cell>
          <cell r="E15">
            <v>42607</v>
          </cell>
          <cell r="F15" t="str">
            <v>마티즈</v>
          </cell>
          <cell r="G15" t="str">
            <v xml:space="preserve">DAEWOO  MATIZ </v>
          </cell>
          <cell r="H15" t="str">
            <v>2001</v>
          </cell>
          <cell r="I15">
            <v>0</v>
          </cell>
          <cell r="J15">
            <v>0</v>
          </cell>
          <cell r="K15">
            <v>0</v>
          </cell>
          <cell r="L15" t="str">
            <v>17소8195</v>
          </cell>
          <cell r="M15">
            <v>0</v>
          </cell>
          <cell r="N15" t="str">
            <v>KLY4A11BD1C726117</v>
          </cell>
          <cell r="O15">
            <v>42607</v>
          </cell>
          <cell r="P15" t="str">
            <v>인천광역시 연수구청장</v>
          </cell>
          <cell r="Q15">
            <v>0</v>
          </cell>
          <cell r="R15">
            <v>42768</v>
          </cell>
          <cell r="S15">
            <v>4374</v>
          </cell>
          <cell r="T15">
            <v>0</v>
          </cell>
          <cell r="U15">
            <v>0</v>
          </cell>
          <cell r="V15">
            <v>0</v>
          </cell>
          <cell r="W15" t="str">
            <v>UZB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20161130이후"/>
      <sheetName val="CarName_INPUT입력"/>
      <sheetName val="쉬핑마크 (2)"/>
      <sheetName val="쉬핑마크"/>
      <sheetName val="계약서"/>
      <sheetName val="쉬핑INVOICE"/>
      <sheetName val="수출현황_종합"/>
      <sheetName val="부품"/>
      <sheetName val="차량매입경비신청서 (2)"/>
      <sheetName val="신한 원화"/>
      <sheetName val="코리아 원화"/>
      <sheetName val="차량매입경비신청서"/>
      <sheetName val="면장신청"/>
      <sheetName val="Sheet2"/>
      <sheetName val="Sheet3"/>
      <sheetName val="말소신청서"/>
      <sheetName val="월말신고"/>
      <sheetName val="구매선적일보"/>
      <sheetName val="매입현황 보고"/>
      <sheetName val="재고관리"/>
      <sheetName val="말소증"/>
      <sheetName val="매매계약서"/>
      <sheetName val="면장주소"/>
      <sheetName val="현금영수증"/>
      <sheetName val="이행신고서"/>
      <sheetName val="개인정보"/>
      <sheetName val="Sheet1"/>
    </sheetNames>
    <sheetDataSet>
      <sheetData sheetId="0"/>
      <sheetData sheetId="1">
        <row r="4">
          <cell r="A4" t="str">
            <v>차명</v>
          </cell>
        </row>
        <row r="5">
          <cell r="A5" t="str">
            <v>엑센트1495</v>
          </cell>
        </row>
        <row r="6">
          <cell r="A6" t="str">
            <v>엑센트1396</v>
          </cell>
        </row>
        <row r="7">
          <cell r="A7" t="str">
            <v>엑센트1341</v>
          </cell>
        </row>
        <row r="8">
          <cell r="A8" t="str">
            <v>엑센트1591</v>
          </cell>
        </row>
        <row r="9">
          <cell r="A9" t="str">
            <v>엑센트1368</v>
          </cell>
        </row>
        <row r="10">
          <cell r="A10" t="str">
            <v>엑센트1582</v>
          </cell>
        </row>
        <row r="11">
          <cell r="A11" t="str">
            <v>엑센트</v>
          </cell>
        </row>
        <row r="12">
          <cell r="A12" t="str">
            <v>아반떼</v>
          </cell>
        </row>
        <row r="13">
          <cell r="A13" t="str">
            <v>md</v>
          </cell>
        </row>
        <row r="14">
          <cell r="A14" t="str">
            <v>아반떼오토</v>
          </cell>
        </row>
        <row r="15">
          <cell r="A15" t="str">
            <v>hd</v>
          </cell>
        </row>
        <row r="16">
          <cell r="A16" t="str">
            <v>xd</v>
          </cell>
        </row>
        <row r="17">
          <cell r="A17" t="str">
            <v>뉴아반떼</v>
          </cell>
        </row>
        <row r="18">
          <cell r="A18" t="str">
            <v>클릭</v>
          </cell>
        </row>
        <row r="19">
          <cell r="A19" t="str">
            <v>뉴클릭</v>
          </cell>
        </row>
        <row r="20">
          <cell r="A20" t="str">
            <v>엘란트라</v>
          </cell>
        </row>
        <row r="21">
          <cell r="A21" t="str">
            <v>그레이스</v>
          </cell>
        </row>
        <row r="22">
          <cell r="A22" t="str">
            <v>그레이스9</v>
          </cell>
        </row>
        <row r="23">
          <cell r="A23" t="str">
            <v>그레이스12</v>
          </cell>
        </row>
        <row r="24">
          <cell r="A24">
            <v>0</v>
          </cell>
        </row>
        <row r="25">
          <cell r="A25" t="str">
            <v>그레이스15</v>
          </cell>
        </row>
        <row r="26">
          <cell r="A26">
            <v>0</v>
          </cell>
        </row>
        <row r="27">
          <cell r="A27" t="str">
            <v>그레이스6밴</v>
          </cell>
        </row>
        <row r="28">
          <cell r="A28" t="str">
            <v>그레이스
장축6밴</v>
          </cell>
        </row>
        <row r="29">
          <cell r="A29" t="str">
            <v>그레이스
장축3밴</v>
          </cell>
        </row>
        <row r="30">
          <cell r="A30">
            <v>0</v>
          </cell>
        </row>
        <row r="31">
          <cell r="A31" t="str">
            <v>마이티 2.5톤</v>
          </cell>
        </row>
        <row r="32">
          <cell r="A32" t="str">
            <v>마이티</v>
          </cell>
        </row>
        <row r="33">
          <cell r="A33" t="str">
            <v>마이티2 터보</v>
          </cell>
        </row>
        <row r="34">
          <cell r="A34">
            <v>0</v>
          </cell>
        </row>
        <row r="35">
          <cell r="A35">
            <v>0</v>
          </cell>
        </row>
        <row r="36">
          <cell r="A36" t="str">
            <v>그랜드스타렉스</v>
          </cell>
        </row>
        <row r="37">
          <cell r="A37">
            <v>0</v>
          </cell>
        </row>
        <row r="38">
          <cell r="A38">
            <v>0</v>
          </cell>
        </row>
        <row r="39">
          <cell r="A39">
            <v>0</v>
          </cell>
        </row>
        <row r="40">
          <cell r="A40">
            <v>0</v>
          </cell>
        </row>
        <row r="41">
          <cell r="A41">
            <v>0</v>
          </cell>
        </row>
        <row r="42">
          <cell r="A42">
            <v>0</v>
          </cell>
        </row>
        <row r="43">
          <cell r="A43">
            <v>0</v>
          </cell>
        </row>
        <row r="44">
          <cell r="A44">
            <v>0</v>
          </cell>
        </row>
        <row r="45">
          <cell r="A45">
            <v>0</v>
          </cell>
        </row>
        <row r="46">
          <cell r="A46">
            <v>0</v>
          </cell>
        </row>
        <row r="47">
          <cell r="A47">
            <v>0</v>
          </cell>
        </row>
        <row r="48">
          <cell r="A48">
            <v>0</v>
          </cell>
        </row>
        <row r="49">
          <cell r="A49">
            <v>0</v>
          </cell>
        </row>
        <row r="50">
          <cell r="A50" t="str">
            <v>포터초장축더블캡</v>
          </cell>
        </row>
        <row r="51">
          <cell r="A51" t="str">
            <v>포터초장축슈퍼캡</v>
          </cell>
        </row>
        <row r="52">
          <cell r="A52">
            <v>0</v>
          </cell>
        </row>
        <row r="53">
          <cell r="A53" t="str">
            <v>포터</v>
          </cell>
        </row>
        <row r="54">
          <cell r="A54" t="str">
            <v>포터장축켑</v>
          </cell>
        </row>
        <row r="55">
          <cell r="A55" t="str">
            <v>포터초장축</v>
          </cell>
        </row>
        <row r="56">
          <cell r="A56" t="str">
            <v>포터2</v>
          </cell>
        </row>
        <row r="57">
          <cell r="A57">
            <v>0</v>
          </cell>
        </row>
        <row r="58">
          <cell r="A58" t="str">
            <v>포터2내장탑</v>
          </cell>
        </row>
        <row r="59">
          <cell r="A59" t="str">
            <v>포터2냉동탑</v>
          </cell>
        </row>
        <row r="60">
          <cell r="A60">
            <v>0</v>
          </cell>
        </row>
        <row r="61">
          <cell r="A61">
            <v>0</v>
          </cell>
        </row>
        <row r="62">
          <cell r="A62">
            <v>0</v>
          </cell>
        </row>
        <row r="63">
          <cell r="A63">
            <v>0</v>
          </cell>
        </row>
        <row r="64">
          <cell r="A64" t="str">
            <v>현대5톤트럭</v>
          </cell>
        </row>
        <row r="65">
          <cell r="A65">
            <v>0</v>
          </cell>
        </row>
        <row r="66">
          <cell r="A66">
            <v>0</v>
          </cell>
        </row>
        <row r="67">
          <cell r="A67" t="str">
            <v>스타렉스</v>
          </cell>
        </row>
        <row r="68">
          <cell r="A68" t="str">
            <v>스타렉스인터쿨러9</v>
          </cell>
        </row>
        <row r="69">
          <cell r="A69" t="str">
            <v>스타렉스9</v>
          </cell>
        </row>
        <row r="70">
          <cell r="A70">
            <v>0</v>
          </cell>
        </row>
        <row r="71">
          <cell r="A71" t="str">
            <v>스타렉스12</v>
          </cell>
        </row>
        <row r="72">
          <cell r="A72">
            <v>0</v>
          </cell>
        </row>
        <row r="73">
          <cell r="A73" t="str">
            <v>스타렉스6</v>
          </cell>
        </row>
        <row r="74">
          <cell r="A74">
            <v>0</v>
          </cell>
        </row>
        <row r="75">
          <cell r="A75" t="str">
            <v>스타렉스터보롱12</v>
          </cell>
        </row>
        <row r="76">
          <cell r="A76" t="str">
            <v>스타렉스4륜</v>
          </cell>
        </row>
        <row r="77">
          <cell r="A77">
            <v>0</v>
          </cell>
        </row>
        <row r="78">
          <cell r="A78" t="str">
            <v>테라칸</v>
          </cell>
        </row>
        <row r="79">
          <cell r="A79">
            <v>0</v>
          </cell>
        </row>
        <row r="80">
          <cell r="A80" t="str">
            <v>베르나</v>
          </cell>
        </row>
        <row r="81">
          <cell r="A81" t="str">
            <v>뉴베르나</v>
          </cell>
        </row>
        <row r="82">
          <cell r="A82" t="str">
            <v>베르나하이브리드</v>
          </cell>
        </row>
        <row r="83">
          <cell r="A83">
            <v>0</v>
          </cell>
        </row>
        <row r="84">
          <cell r="A84" t="str">
            <v>카운티</v>
          </cell>
        </row>
        <row r="85">
          <cell r="A85" t="str">
            <v>이-카운티</v>
          </cell>
        </row>
        <row r="86">
          <cell r="A86" t="str">
            <v>벨로스터</v>
          </cell>
        </row>
        <row r="87">
          <cell r="A87" t="str">
            <v>베르나</v>
          </cell>
        </row>
        <row r="88">
          <cell r="A88" t="str">
            <v>아토스</v>
          </cell>
        </row>
        <row r="89">
          <cell r="A89" t="str">
            <v>라비타</v>
          </cell>
        </row>
        <row r="90">
          <cell r="A90">
            <v>0</v>
          </cell>
        </row>
        <row r="91">
          <cell r="A91" t="str">
            <v>투싼</v>
          </cell>
        </row>
        <row r="92">
          <cell r="A92" t="str">
            <v>투스카니</v>
          </cell>
        </row>
        <row r="93">
          <cell r="A93" t="str">
            <v>티뷰론터뷸런스</v>
          </cell>
        </row>
        <row r="94">
          <cell r="A94">
            <v>0</v>
          </cell>
        </row>
        <row r="95">
          <cell r="A95" t="str">
            <v>쏘나타</v>
          </cell>
        </row>
        <row r="96">
          <cell r="A96" t="str">
            <v>ef쏘나타</v>
          </cell>
        </row>
        <row r="97">
          <cell r="A97">
            <v>0</v>
          </cell>
        </row>
        <row r="98">
          <cell r="A98" t="str">
            <v>뉴EF쏘나타</v>
          </cell>
        </row>
        <row r="99">
          <cell r="A99" t="str">
            <v>뉴EF쏘나타골드</v>
          </cell>
        </row>
        <row r="100">
          <cell r="A100" t="str">
            <v>쏘나타 하이브리드</v>
          </cell>
        </row>
        <row r="101">
          <cell r="A101">
            <v>0</v>
          </cell>
        </row>
        <row r="102">
          <cell r="A102" t="str">
            <v>에쿠스</v>
          </cell>
        </row>
        <row r="103">
          <cell r="A103" t="str">
            <v>i30</v>
          </cell>
        </row>
        <row r="104">
          <cell r="A104">
            <v>0</v>
          </cell>
        </row>
        <row r="105">
          <cell r="A105" t="str">
            <v>싼타페</v>
          </cell>
        </row>
        <row r="106">
          <cell r="A106" t="str">
            <v>그랜저</v>
          </cell>
        </row>
        <row r="107">
          <cell r="A107" t="str">
            <v>그랜저XG</v>
          </cell>
        </row>
        <row r="108">
          <cell r="A108" t="str">
            <v>뉴그랜저XG</v>
          </cell>
        </row>
        <row r="109">
          <cell r="A109" t="str">
            <v>그랜저TG</v>
          </cell>
        </row>
        <row r="110">
          <cell r="A110" t="str">
            <v>로체</v>
          </cell>
        </row>
        <row r="111">
          <cell r="A111" t="str">
            <v>포르테</v>
          </cell>
        </row>
        <row r="112">
          <cell r="A112" t="str">
            <v>포르테쿱</v>
          </cell>
        </row>
        <row r="113">
          <cell r="A113" t="str">
            <v>봉고</v>
          </cell>
        </row>
        <row r="114">
          <cell r="A114">
            <v>0</v>
          </cell>
        </row>
        <row r="115">
          <cell r="A115" t="str">
            <v>델타</v>
          </cell>
        </row>
        <row r="116">
          <cell r="A116" t="str">
            <v>아벨라</v>
          </cell>
        </row>
        <row r="117">
          <cell r="A117" t="str">
            <v>쎄라토</v>
          </cell>
        </row>
        <row r="118">
          <cell r="A118" t="str">
            <v>k5</v>
          </cell>
        </row>
        <row r="119">
          <cell r="A119" t="str">
            <v>k5 하이브리드</v>
          </cell>
        </row>
        <row r="120">
          <cell r="A120" t="str">
            <v>리오</v>
          </cell>
        </row>
        <row r="121">
          <cell r="A121" t="str">
            <v>리오RX-V</v>
          </cell>
        </row>
        <row r="122">
          <cell r="A122" t="str">
            <v>리오sf</v>
          </cell>
        </row>
        <row r="123">
          <cell r="A123" t="str">
            <v>세피아</v>
          </cell>
        </row>
        <row r="124">
          <cell r="A124" t="str">
            <v>세피아2</v>
          </cell>
        </row>
        <row r="125">
          <cell r="A125" t="str">
            <v>세피아오토</v>
          </cell>
        </row>
        <row r="126">
          <cell r="A126" t="str">
            <v>스펙트라</v>
          </cell>
        </row>
        <row r="127">
          <cell r="A127" t="str">
            <v>스펙트라윙</v>
          </cell>
        </row>
        <row r="128">
          <cell r="A128" t="str">
            <v>비스토</v>
          </cell>
        </row>
        <row r="129">
          <cell r="A129" t="str">
            <v>슈마</v>
          </cell>
        </row>
        <row r="130">
          <cell r="A130" t="str">
            <v>프라이드웨곤</v>
          </cell>
        </row>
        <row r="131">
          <cell r="A131" t="str">
            <v>프라이드</v>
          </cell>
        </row>
        <row r="132">
          <cell r="A132">
            <v>0</v>
          </cell>
        </row>
        <row r="133">
          <cell r="A133" t="str">
            <v>프런티어</v>
          </cell>
        </row>
        <row r="134">
          <cell r="A134">
            <v>0</v>
          </cell>
        </row>
        <row r="135">
          <cell r="A135" t="str">
            <v>스포티지</v>
          </cell>
        </row>
        <row r="137">
          <cell r="A137" t="str">
            <v>프런티어1.3톤</v>
          </cell>
        </row>
        <row r="138">
          <cell r="A138" t="str">
            <v>오텍봉고킹캡</v>
          </cell>
        </row>
        <row r="139">
          <cell r="A139">
            <v>0</v>
          </cell>
        </row>
        <row r="140">
          <cell r="A140" t="str">
            <v>프런티어1.4톤</v>
          </cell>
        </row>
        <row r="141">
          <cell r="A141" t="str">
            <v>봉고킹캡</v>
          </cell>
        </row>
        <row r="142">
          <cell r="A142">
            <v>0</v>
          </cell>
        </row>
        <row r="143">
          <cell r="A143" t="str">
            <v>오텍프런티어</v>
          </cell>
        </row>
        <row r="144">
          <cell r="A144">
            <v>0</v>
          </cell>
        </row>
        <row r="145">
          <cell r="A145" t="str">
            <v>봉고3</v>
          </cell>
        </row>
        <row r="146">
          <cell r="A146" t="str">
            <v>봉고3 1.2</v>
          </cell>
        </row>
        <row r="147">
          <cell r="A147" t="str">
            <v>봉고3 1.4</v>
          </cell>
        </row>
        <row r="148">
          <cell r="A148" t="str">
            <v>봉고3 1톤</v>
          </cell>
        </row>
        <row r="149">
          <cell r="A149" t="str">
            <v>봉고3 카고</v>
          </cell>
        </row>
        <row r="150">
          <cell r="A150" t="str">
            <v>봉고3 플러스</v>
          </cell>
        </row>
        <row r="151">
          <cell r="A151" t="str">
            <v>봉고프런티어킹캡</v>
          </cell>
        </row>
        <row r="152">
          <cell r="A152" t="str">
            <v>봉고프런티어4륜</v>
          </cell>
        </row>
        <row r="153">
          <cell r="A153" t="str">
            <v>봉고프런티어</v>
          </cell>
        </row>
        <row r="154">
          <cell r="A154" t="str">
            <v>봉고3 탑</v>
          </cell>
        </row>
        <row r="155">
          <cell r="A155" t="str">
            <v>봉고 트런티어 탑</v>
          </cell>
        </row>
        <row r="156">
          <cell r="A156" t="str">
            <v>봉고프런티어 GLS</v>
          </cell>
        </row>
        <row r="157">
          <cell r="A157" t="str">
            <v>마티즈</v>
          </cell>
        </row>
        <row r="158">
          <cell r="A158" t="str">
            <v>마티즈0.8at</v>
          </cell>
        </row>
        <row r="159">
          <cell r="A159" t="str">
            <v>마티즈0.8mt</v>
          </cell>
        </row>
        <row r="160">
          <cell r="A160" t="str">
            <v>마티즈밴 AT</v>
          </cell>
        </row>
        <row r="161">
          <cell r="A161">
            <v>0</v>
          </cell>
        </row>
        <row r="162">
          <cell r="A162" t="str">
            <v>윈스톰</v>
          </cell>
        </row>
        <row r="163">
          <cell r="A163" t="str">
            <v>라노스1.3</v>
          </cell>
        </row>
        <row r="164">
          <cell r="A164" t="str">
            <v>라노스1.5</v>
          </cell>
        </row>
        <row r="165">
          <cell r="A165" t="str">
            <v>라노스해치백1.3</v>
          </cell>
        </row>
        <row r="166">
          <cell r="A166" t="str">
            <v>라노스해치백1.5</v>
          </cell>
        </row>
        <row r="167">
          <cell r="A167" t="str">
            <v>라노스</v>
          </cell>
        </row>
        <row r="168">
          <cell r="A168">
            <v>0</v>
          </cell>
        </row>
        <row r="169">
          <cell r="A169" t="str">
            <v>매그너스</v>
          </cell>
        </row>
        <row r="170">
          <cell r="A170">
            <v>0</v>
          </cell>
        </row>
        <row r="171">
          <cell r="A171" t="str">
            <v>누비라1.5</v>
          </cell>
        </row>
        <row r="173">
          <cell r="A173" t="str">
            <v>라세티1.6</v>
          </cell>
        </row>
        <row r="174">
          <cell r="A174">
            <v>0</v>
          </cell>
        </row>
        <row r="175">
          <cell r="A175">
            <v>0</v>
          </cell>
        </row>
        <row r="176">
          <cell r="A176" t="str">
            <v>라세티5</v>
          </cell>
        </row>
        <row r="177">
          <cell r="A177" t="str">
            <v>라세티5 mt</v>
          </cell>
        </row>
        <row r="178">
          <cell r="A178">
            <v>0</v>
          </cell>
        </row>
        <row r="179">
          <cell r="A179" t="str">
            <v>라세티1.5</v>
          </cell>
        </row>
        <row r="180">
          <cell r="A180">
            <v>0</v>
          </cell>
        </row>
        <row r="181">
          <cell r="A181" t="str">
            <v>젠트라1.5</v>
          </cell>
        </row>
        <row r="182">
          <cell r="A182" t="str">
            <v>젠트라1.6</v>
          </cell>
        </row>
        <row r="183">
          <cell r="A183" t="str">
            <v>젠트라1.2</v>
          </cell>
        </row>
        <row r="185">
          <cell r="A185" t="str">
            <v>칼로스1.2</v>
          </cell>
        </row>
        <row r="186">
          <cell r="A186" t="str">
            <v>칼로스1.5</v>
          </cell>
        </row>
        <row r="187">
          <cell r="A187" t="str">
            <v>티코</v>
          </cell>
        </row>
        <row r="188">
          <cell r="A188" t="str">
            <v>다마스</v>
          </cell>
        </row>
        <row r="189">
          <cell r="A189" t="str">
            <v>다마스밴</v>
          </cell>
        </row>
        <row r="190">
          <cell r="A190" t="str">
            <v>다마스5</v>
          </cell>
        </row>
        <row r="191">
          <cell r="A191" t="str">
            <v>다마스7</v>
          </cell>
        </row>
        <row r="192">
          <cell r="A192" t="str">
            <v>레간자</v>
          </cell>
        </row>
        <row r="193">
          <cell r="A193" t="str">
            <v>레간자2.0</v>
          </cell>
        </row>
        <row r="194">
          <cell r="A194" t="str">
            <v>라보</v>
          </cell>
        </row>
        <row r="195">
          <cell r="A195" t="str">
            <v>라보롱카고</v>
          </cell>
        </row>
        <row r="196">
          <cell r="A196">
            <v>0</v>
          </cell>
        </row>
        <row r="197">
          <cell r="A197" t="str">
            <v>라보5MT</v>
          </cell>
        </row>
        <row r="198">
          <cell r="A198" t="str">
            <v>CR-V</v>
          </cell>
        </row>
        <row r="199">
          <cell r="A199" t="str">
            <v>쏘울</v>
          </cell>
        </row>
        <row r="200">
          <cell r="A200" t="str">
            <v>모닝</v>
          </cell>
        </row>
        <row r="201">
          <cell r="A201" t="str">
            <v>쏘렌토</v>
          </cell>
        </row>
        <row r="202">
          <cell r="A202" t="str">
            <v>쏘렌토gl</v>
          </cell>
        </row>
        <row r="203">
          <cell r="A203" t="str">
            <v>쏘렌토GLS</v>
          </cell>
        </row>
        <row r="204">
          <cell r="A204">
            <v>0</v>
          </cell>
        </row>
        <row r="205">
          <cell r="A205" t="str">
            <v>파맥스</v>
          </cell>
        </row>
        <row r="206">
          <cell r="A206" t="str">
            <v>타우너</v>
          </cell>
        </row>
        <row r="207">
          <cell r="A207" t="str">
            <v>프레지오</v>
          </cell>
        </row>
        <row r="208">
          <cell r="A208">
            <v>0</v>
          </cell>
        </row>
        <row r="209">
          <cell r="A209">
            <v>0</v>
          </cell>
        </row>
        <row r="210">
          <cell r="A210">
            <v>0</v>
          </cell>
        </row>
        <row r="211">
          <cell r="A211">
            <v>0</v>
          </cell>
        </row>
        <row r="212">
          <cell r="A212" t="str">
            <v>오피러스</v>
          </cell>
        </row>
        <row r="213">
          <cell r="A213" t="str">
            <v>옵티마</v>
          </cell>
        </row>
        <row r="214">
          <cell r="A214" t="str">
            <v>옵티마리갈</v>
          </cell>
        </row>
        <row r="215">
          <cell r="A215" t="str">
            <v>sm3</v>
          </cell>
        </row>
        <row r="216">
          <cell r="A216">
            <v>520</v>
          </cell>
        </row>
        <row r="217">
          <cell r="A217" t="str">
            <v>520 LPG</v>
          </cell>
        </row>
        <row r="218">
          <cell r="A218">
            <v>518</v>
          </cell>
        </row>
        <row r="219">
          <cell r="A219" t="str">
            <v>525V</v>
          </cell>
        </row>
        <row r="220">
          <cell r="A220" t="str">
            <v>520v</v>
          </cell>
        </row>
        <row r="221">
          <cell r="A221">
            <v>518</v>
          </cell>
        </row>
        <row r="222">
          <cell r="A222" t="str">
            <v>시에로</v>
          </cell>
        </row>
        <row r="223">
          <cell r="A223">
            <v>518</v>
          </cell>
        </row>
        <row r="224">
          <cell r="A224">
            <v>518</v>
          </cell>
        </row>
        <row r="225">
          <cell r="A225">
            <v>518</v>
          </cell>
        </row>
        <row r="226">
          <cell r="A226">
            <v>518</v>
          </cell>
        </row>
        <row r="227">
          <cell r="A227">
            <v>518</v>
          </cell>
        </row>
        <row r="228">
          <cell r="A228">
            <v>518</v>
          </cell>
        </row>
        <row r="229">
          <cell r="A229" t="str">
            <v>bmw525i</v>
          </cell>
        </row>
        <row r="230">
          <cell r="A230">
            <v>518</v>
          </cell>
        </row>
        <row r="231">
          <cell r="A231">
            <v>518</v>
          </cell>
        </row>
        <row r="232">
          <cell r="A232">
            <v>518</v>
          </cell>
        </row>
        <row r="233">
          <cell r="A233">
            <v>518</v>
          </cell>
        </row>
        <row r="234">
          <cell r="A234">
            <v>518</v>
          </cell>
        </row>
        <row r="235">
          <cell r="A235" t="str">
            <v>무쏘</v>
          </cell>
        </row>
        <row r="236">
          <cell r="A236" t="str">
            <v>뉴무쏘</v>
          </cell>
        </row>
        <row r="237">
          <cell r="A237" t="str">
            <v>카니발</v>
          </cell>
        </row>
        <row r="238">
          <cell r="A238" t="str">
            <v>카니발2</v>
          </cell>
        </row>
        <row r="239">
          <cell r="A239" t="str">
            <v>카렌스</v>
          </cell>
        </row>
        <row r="240">
          <cell r="A240" t="str">
            <v>렉스턴</v>
          </cell>
        </row>
        <row r="241">
          <cell r="A241" t="str">
            <v>체어맨</v>
          </cell>
        </row>
        <row r="242">
          <cell r="A242">
            <v>518</v>
          </cell>
        </row>
        <row r="243">
          <cell r="A243">
            <v>518</v>
          </cell>
        </row>
        <row r="244">
          <cell r="A244" t="str">
            <v>이스타나</v>
          </cell>
        </row>
        <row r="245">
          <cell r="A245" t="str">
            <v>이스타나15</v>
          </cell>
        </row>
        <row r="246">
          <cell r="A246" t="str">
            <v>이스타나12</v>
          </cell>
        </row>
        <row r="247">
          <cell r="A247" t="str">
            <v>이스타나6밴</v>
          </cell>
        </row>
        <row r="248">
          <cell r="A248" t="str">
            <v>엑티언</v>
          </cell>
        </row>
        <row r="249">
          <cell r="A249" t="str">
            <v>엑티언스포츠</v>
          </cell>
        </row>
        <row r="250">
          <cell r="A250" t="str">
            <v>코란도</v>
          </cell>
        </row>
        <row r="251">
          <cell r="A251" t="str">
            <v>렉서스ES330</v>
          </cell>
        </row>
        <row r="252">
          <cell r="A252" t="str">
            <v>렉서스ES350</v>
          </cell>
        </row>
        <row r="253">
          <cell r="A253" t="str">
            <v>렉서스LS430</v>
          </cell>
        </row>
        <row r="254">
          <cell r="A254" t="str">
            <v>렉서스GS300</v>
          </cell>
        </row>
        <row r="255">
          <cell r="A255" t="str">
            <v>렉서스LS460</v>
          </cell>
        </row>
        <row r="256">
          <cell r="A256" t="str">
            <v>렉서스LS460L</v>
          </cell>
        </row>
        <row r="257">
          <cell r="A257" t="str">
            <v>벤츠 C-240</v>
          </cell>
        </row>
        <row r="258">
          <cell r="A258" t="str">
            <v>아우디a6</v>
          </cell>
        </row>
        <row r="259">
          <cell r="A259" t="str">
            <v>아우디a4</v>
          </cell>
        </row>
        <row r="260">
          <cell r="A260" t="str">
            <v>엑센트</v>
          </cell>
        </row>
        <row r="261">
          <cell r="A261" t="str">
            <v>스타렉스인터쿨러9인4WD</v>
          </cell>
        </row>
        <row r="262">
          <cell r="A262" t="str">
            <v>스타렉스9</v>
          </cell>
        </row>
        <row r="263">
          <cell r="A263" t="str">
            <v>뉴스타렉스4륜AT</v>
          </cell>
        </row>
        <row r="264">
          <cell r="A264" t="str">
            <v>스타렉스인터쿨러단축9인</v>
          </cell>
        </row>
        <row r="265">
          <cell r="A265" t="str">
            <v>프라이드해치백</v>
          </cell>
        </row>
        <row r="266">
          <cell r="A266" t="str">
            <v>싼타페AT</v>
          </cell>
        </row>
        <row r="267">
          <cell r="A267" t="str">
            <v>뉴스타렉스12</v>
          </cell>
        </row>
        <row r="268">
          <cell r="A268" t="str">
            <v>포터II냉동탑차</v>
          </cell>
        </row>
        <row r="269">
          <cell r="A269" t="str">
            <v>포터II슈퍼캡냉동탑차</v>
          </cell>
        </row>
        <row r="270">
          <cell r="A270" t="str">
            <v>다마스5인승</v>
          </cell>
        </row>
        <row r="271">
          <cell r="A271" t="str">
            <v>카운티25</v>
          </cell>
        </row>
        <row r="272">
          <cell r="A272" t="str">
            <v>프라이드가솔린해치</v>
          </cell>
        </row>
        <row r="273">
          <cell r="A273" t="str">
            <v>봉고 III 코치15</v>
          </cell>
        </row>
        <row r="274">
          <cell r="A274" t="str">
            <v>그레이스15인승</v>
          </cell>
        </row>
        <row r="275">
          <cell r="A275" t="str">
            <v>프라이드해치백디젤</v>
          </cell>
        </row>
        <row r="276">
          <cell r="A276" t="str">
            <v>올뉴마티즈</v>
          </cell>
        </row>
        <row r="277">
          <cell r="A277" t="str">
            <v>갤로퍼</v>
          </cell>
        </row>
        <row r="278">
          <cell r="A278" t="str">
            <v>그랜드스타렉스12</v>
          </cell>
        </row>
        <row r="279">
          <cell r="A279" t="str">
            <v>투싼 AT</v>
          </cell>
        </row>
        <row r="280">
          <cell r="A280" t="str">
            <v>봉고 III 1.2톤카고</v>
          </cell>
        </row>
        <row r="281">
          <cell r="A281" t="str">
            <v>투싼 CRDI</v>
          </cell>
        </row>
        <row r="282">
          <cell r="A282" t="str">
            <v>카운티25</v>
          </cell>
        </row>
        <row r="283">
          <cell r="A283" t="str">
            <v>그레이스터보15인</v>
          </cell>
        </row>
        <row r="284">
          <cell r="A284" t="str">
            <v>그레이스터보15인승</v>
          </cell>
        </row>
        <row r="285">
          <cell r="A285" t="str">
            <v>포터II냉동탑차</v>
          </cell>
        </row>
        <row r="286">
          <cell r="A286" t="str">
            <v>봉고 III 코치15</v>
          </cell>
        </row>
        <row r="287">
          <cell r="A287" t="str">
            <v>봉고 III 1톤카고</v>
          </cell>
        </row>
        <row r="288">
          <cell r="A288" t="str">
            <v>봉고III 코치</v>
          </cell>
        </row>
        <row r="289">
          <cell r="A289" t="str">
            <v>봉고III 1톤</v>
          </cell>
        </row>
        <row r="290">
          <cell r="A290" t="str">
            <v>봉고 III 12인승</v>
          </cell>
        </row>
        <row r="291">
          <cell r="A291" t="str">
            <v>오텍파라메딕특수구급차</v>
          </cell>
        </row>
        <row r="292">
          <cell r="A292" t="str">
            <v>봉고 III 카고</v>
          </cell>
        </row>
        <row r="293">
          <cell r="A293" t="str">
            <v>스타렉스4wdAT</v>
          </cell>
        </row>
        <row r="294">
          <cell r="A294" t="str">
            <v>포터II 카고</v>
          </cell>
        </row>
        <row r="295">
          <cell r="A295" t="str">
            <v>프라이드1.6</v>
          </cell>
        </row>
        <row r="296">
          <cell r="A296" t="str">
            <v>스타렉스7인승</v>
          </cell>
        </row>
        <row r="297">
          <cell r="A297" t="str">
            <v>뉴스타렉스9</v>
          </cell>
        </row>
        <row r="298">
          <cell r="A298" t="str">
            <v>봉고III냉탑</v>
          </cell>
        </row>
        <row r="299">
          <cell r="A299" t="str">
            <v>프라이드해치백디젤</v>
          </cell>
        </row>
        <row r="300">
          <cell r="A300" t="str">
            <v>테라칸ex</v>
          </cell>
        </row>
        <row r="301">
          <cell r="A301" t="str">
            <v>라세티</v>
          </cell>
        </row>
        <row r="302">
          <cell r="A302" t="str">
            <v>뉴스타렉스12</v>
          </cell>
        </row>
        <row r="303">
          <cell r="A303" t="str">
            <v>봉고III코치</v>
          </cell>
        </row>
        <row r="304">
          <cell r="A304" t="str">
            <v>뉴스타렉스</v>
          </cell>
        </row>
        <row r="305">
          <cell r="A305" t="str">
            <v>테라칸 JX250</v>
          </cell>
        </row>
        <row r="306">
          <cell r="A306" t="str">
            <v>스타렉스4륜</v>
          </cell>
        </row>
        <row r="307">
          <cell r="A307" t="str">
            <v>뉴스타렉스사륜</v>
          </cell>
        </row>
        <row r="308">
          <cell r="A308" t="str">
            <v>라세티해치백가솔린</v>
          </cell>
        </row>
        <row r="309">
          <cell r="A309" t="str">
            <v>스타렉스사륜</v>
          </cell>
        </row>
        <row r="310">
          <cell r="A310" t="str">
            <v>갤로퍼II승합</v>
          </cell>
        </row>
        <row r="311">
          <cell r="A311" t="str">
            <v>갤로퍼</v>
          </cell>
        </row>
        <row r="312">
          <cell r="A312" t="str">
            <v>라세티해치백</v>
          </cell>
        </row>
        <row r="313">
          <cell r="A313" t="str">
            <v>뉴스타렉스12인승2륜</v>
          </cell>
        </row>
        <row r="314">
          <cell r="A314">
            <v>518</v>
          </cell>
        </row>
        <row r="315">
          <cell r="A315">
            <v>518</v>
          </cell>
        </row>
        <row r="316">
          <cell r="A316">
            <v>518</v>
          </cell>
        </row>
        <row r="317">
          <cell r="A317">
            <v>518</v>
          </cell>
        </row>
        <row r="318">
          <cell r="A318">
            <v>518</v>
          </cell>
        </row>
        <row r="319">
          <cell r="A319">
            <v>518</v>
          </cell>
        </row>
        <row r="320">
          <cell r="A320">
            <v>518</v>
          </cell>
        </row>
        <row r="321">
          <cell r="A321">
            <v>518</v>
          </cell>
        </row>
        <row r="322">
          <cell r="A322">
            <v>518</v>
          </cell>
        </row>
        <row r="323">
          <cell r="A323">
            <v>518</v>
          </cell>
        </row>
        <row r="324">
          <cell r="A324">
            <v>518</v>
          </cell>
        </row>
        <row r="325">
          <cell r="A325">
            <v>518</v>
          </cell>
        </row>
        <row r="326">
          <cell r="A326">
            <v>518</v>
          </cell>
        </row>
        <row r="327">
          <cell r="A327">
            <v>518</v>
          </cell>
        </row>
        <row r="328">
          <cell r="A328">
            <v>518</v>
          </cell>
        </row>
        <row r="329">
          <cell r="A329">
            <v>518</v>
          </cell>
        </row>
        <row r="330">
          <cell r="A330">
            <v>518</v>
          </cell>
        </row>
        <row r="331">
          <cell r="A331">
            <v>518</v>
          </cell>
        </row>
        <row r="332">
          <cell r="A332">
            <v>518</v>
          </cell>
        </row>
        <row r="333">
          <cell r="A333">
            <v>518</v>
          </cell>
        </row>
        <row r="334">
          <cell r="A334">
            <v>518</v>
          </cell>
        </row>
        <row r="335">
          <cell r="A335">
            <v>518</v>
          </cell>
        </row>
        <row r="336">
          <cell r="A336">
            <v>518</v>
          </cell>
        </row>
        <row r="337">
          <cell r="A337">
            <v>518</v>
          </cell>
        </row>
        <row r="338">
          <cell r="A338">
            <v>518</v>
          </cell>
        </row>
        <row r="339">
          <cell r="A339">
            <v>518</v>
          </cell>
        </row>
        <row r="340">
          <cell r="A340">
            <v>518</v>
          </cell>
        </row>
        <row r="341">
          <cell r="A341">
            <v>518</v>
          </cell>
        </row>
      </sheetData>
      <sheetData sheetId="2"/>
      <sheetData sheetId="3"/>
      <sheetData sheetId="4"/>
      <sheetData sheetId="5"/>
      <sheetData sheetId="6">
        <row r="2">
          <cell r="G2" t="str">
            <v>KJ1705-22</v>
          </cell>
        </row>
        <row r="3">
          <cell r="B3">
            <v>2017</v>
          </cell>
          <cell r="C3">
            <v>5</v>
          </cell>
          <cell r="G3">
            <v>5</v>
          </cell>
          <cell r="J3">
            <v>42856</v>
          </cell>
        </row>
        <row r="4">
          <cell r="J4">
            <v>5</v>
          </cell>
        </row>
        <row r="12">
          <cell r="B12">
            <v>5</v>
          </cell>
          <cell r="C12">
            <v>5</v>
          </cell>
          <cell r="D12">
            <v>5</v>
          </cell>
          <cell r="E12">
            <v>5</v>
          </cell>
          <cell r="F12">
            <v>5</v>
          </cell>
          <cell r="G12">
            <v>5</v>
          </cell>
          <cell r="H12">
            <v>5</v>
          </cell>
          <cell r="I12">
            <v>5</v>
          </cell>
          <cell r="J12">
            <v>5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Q12">
            <v>0</v>
          </cell>
          <cell r="R12">
            <v>0</v>
          </cell>
          <cell r="S12">
            <v>0</v>
          </cell>
          <cell r="T12">
            <v>31</v>
          </cell>
          <cell r="U12">
            <v>0</v>
          </cell>
          <cell r="V12">
            <v>0</v>
          </cell>
          <cell r="X12">
            <v>0</v>
          </cell>
          <cell r="Y12">
            <v>0</v>
          </cell>
          <cell r="Z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</row>
        <row r="13">
          <cell r="B13">
            <v>0</v>
          </cell>
          <cell r="C13">
            <v>0</v>
          </cell>
          <cell r="D13" t="str">
            <v>매매계약서</v>
          </cell>
          <cell r="E13">
            <v>0</v>
          </cell>
          <cell r="F13">
            <v>0</v>
          </cell>
          <cell r="G13">
            <v>0</v>
          </cell>
          <cell r="H13" t="str">
            <v>재고</v>
          </cell>
          <cell r="I13">
            <v>284</v>
          </cell>
          <cell r="J13">
            <v>284</v>
          </cell>
          <cell r="K13">
            <v>284</v>
          </cell>
          <cell r="L13">
            <v>31</v>
          </cell>
          <cell r="M13">
            <v>31</v>
          </cell>
          <cell r="N13">
            <v>31</v>
          </cell>
          <cell r="Q13">
            <v>31</v>
          </cell>
          <cell r="R13">
            <v>31</v>
          </cell>
          <cell r="S13">
            <v>31</v>
          </cell>
          <cell r="T13">
            <v>31</v>
          </cell>
          <cell r="U13">
            <v>31</v>
          </cell>
          <cell r="V13">
            <v>31</v>
          </cell>
          <cell r="W13">
            <v>31</v>
          </cell>
          <cell r="X13">
            <v>31</v>
          </cell>
          <cell r="Y13">
            <v>31</v>
          </cell>
          <cell r="Z13">
            <v>31</v>
          </cell>
          <cell r="AB13">
            <v>31</v>
          </cell>
          <cell r="AC13">
            <v>31</v>
          </cell>
          <cell r="AD13">
            <v>31</v>
          </cell>
          <cell r="AE13">
            <v>31</v>
          </cell>
          <cell r="AF13">
            <v>31</v>
          </cell>
          <cell r="AG13">
            <v>31</v>
          </cell>
          <cell r="AH13">
            <v>31</v>
          </cell>
          <cell r="AI13">
            <v>31</v>
          </cell>
          <cell r="AJ13">
            <v>31</v>
          </cell>
          <cell r="AK13">
            <v>31</v>
          </cell>
          <cell r="AL13" t="str">
            <v>전체</v>
          </cell>
        </row>
        <row r="14">
          <cell r="B14" t="str">
            <v>구분입력</v>
          </cell>
          <cell r="C14" t="str">
            <v>2회사</v>
          </cell>
          <cell r="D14" t="str">
            <v>3번호</v>
          </cell>
          <cell r="E14" t="str">
            <v>4날짜</v>
          </cell>
          <cell r="F14" t="str">
            <v>5차번</v>
          </cell>
          <cell r="G14" t="str">
            <v>6차명</v>
          </cell>
          <cell r="H14" t="str">
            <v>7연식</v>
          </cell>
          <cell r="I14" t="str">
            <v>8세금계산서</v>
          </cell>
          <cell r="J14" t="str">
            <v>9면장액</v>
          </cell>
          <cell r="K14" t="str">
            <v>10영세율</v>
          </cell>
          <cell r="L14" t="str">
            <v>11등록번호</v>
          </cell>
          <cell r="M14" t="str">
            <v>12매출일</v>
          </cell>
          <cell r="N14" t="str">
            <v>13차대번호</v>
          </cell>
          <cell r="O14" t="str">
            <v>14말소일</v>
          </cell>
          <cell r="P14" t="str">
            <v>15관청</v>
          </cell>
          <cell r="Q14" t="str">
            <v>16메모</v>
          </cell>
          <cell r="R14" t="str">
            <v>17면장</v>
          </cell>
          <cell r="S14" t="str">
            <v>18면장번호</v>
          </cell>
          <cell r="T14" t="str">
            <v>선적
업체20</v>
          </cell>
          <cell r="U14" t="str">
            <v>b/l no.21</v>
          </cell>
          <cell r="V14" t="str">
            <v>21색깔</v>
          </cell>
          <cell r="W14" t="str">
            <v>도착지22</v>
          </cell>
          <cell r="X14" t="str">
            <v>매입처23</v>
          </cell>
          <cell r="Y14" t="str">
            <v>CONSIGNEE24</v>
          </cell>
          <cell r="Z14" t="str">
            <v>팩스25</v>
          </cell>
          <cell r="AA14" t="str">
            <v>전화번호26</v>
          </cell>
          <cell r="AB14" t="str">
            <v>실매입금27</v>
          </cell>
          <cell r="AC14" t="str">
            <v>선입금28</v>
          </cell>
          <cell r="AD14" t="str">
            <v>잔금29</v>
          </cell>
          <cell r="AE14" t="str">
            <v>실거래 차액30</v>
          </cell>
          <cell r="AF14" t="str">
            <v>차액받은날</v>
          </cell>
          <cell r="AG14" t="str">
            <v>수출이행32</v>
          </cell>
          <cell r="AH14" t="str">
            <v>계산서/환급33</v>
          </cell>
          <cell r="AI14" t="str">
            <v>차주성명34</v>
          </cell>
          <cell r="AJ14" t="str">
            <v>주민등록번호35</v>
          </cell>
          <cell r="AK14" t="str">
            <v>주소36</v>
          </cell>
          <cell r="AL14" t="str">
            <v>현재고</v>
          </cell>
        </row>
        <row r="15">
          <cell r="B15">
            <v>530</v>
          </cell>
          <cell r="C15" t="str">
            <v>성신</v>
          </cell>
          <cell r="D15" t="str">
            <v>1 / No.1</v>
          </cell>
          <cell r="E15">
            <v>42873.019456018519</v>
          </cell>
          <cell r="F15" t="str">
            <v>마티즈</v>
          </cell>
          <cell r="G15" t="str">
            <v xml:space="preserve">DAEWOO  MATIZ </v>
          </cell>
          <cell r="H15" t="str">
            <v>2001</v>
          </cell>
          <cell r="I15">
            <v>42873</v>
          </cell>
          <cell r="J15">
            <v>0</v>
          </cell>
          <cell r="K15">
            <v>1600000</v>
          </cell>
          <cell r="L15" t="str">
            <v>17소8195</v>
          </cell>
          <cell r="M15">
            <v>1600000</v>
          </cell>
          <cell r="N15" t="str">
            <v>KLY4A11BD1C726117</v>
          </cell>
          <cell r="O15">
            <v>42607</v>
          </cell>
          <cell r="P15" t="str">
            <v>인천광역시 연수구청장</v>
          </cell>
          <cell r="Q15">
            <v>42607</v>
          </cell>
          <cell r="R15">
            <v>42768</v>
          </cell>
          <cell r="S15">
            <v>4374</v>
          </cell>
          <cell r="T15">
            <v>4374</v>
          </cell>
          <cell r="U15">
            <v>4374</v>
          </cell>
          <cell r="V15">
            <v>4374</v>
          </cell>
          <cell r="W15" t="str">
            <v>UZB</v>
          </cell>
          <cell r="X15" t="str">
            <v>구자견 이사</v>
          </cell>
          <cell r="Y15" t="str"/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 t="str">
            <v>개인</v>
          </cell>
          <cell r="AI15" t="str">
            <v>김용식</v>
          </cell>
          <cell r="AJ15" t="str">
            <v>650704-1471211</v>
          </cell>
          <cell r="AK15" t="str">
            <v>인천시 부평구 장제로 28번길</v>
          </cell>
          <cell r="AL15" t="str">
            <v>SSYA1701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12 (3)"/>
      <sheetName val="1"/>
      <sheetName val="1(2)"/>
      <sheetName val="2"/>
      <sheetName val="2 (2)"/>
      <sheetName val="3"/>
      <sheetName val="3(2)"/>
      <sheetName val="4"/>
      <sheetName val="4 (2)"/>
      <sheetName val="5"/>
      <sheetName val="5 (2)"/>
      <sheetName val="6"/>
      <sheetName val="6 (2)"/>
      <sheetName val="7"/>
      <sheetName val="7 (2)"/>
      <sheetName val="8"/>
      <sheetName val="8 (2)"/>
      <sheetName val="9"/>
      <sheetName val="9 (2)"/>
      <sheetName val="10"/>
      <sheetName val="10 (2)"/>
      <sheetName val="11"/>
      <sheetName val="11 (2)"/>
      <sheetName val="12"/>
      <sheetName val="12 (2)"/>
      <sheetName val="집계표"/>
      <sheetName val="잔액"/>
      <sheetName val="12_(3)"/>
      <sheetName val="2_(2)"/>
      <sheetName val="4_(2)"/>
      <sheetName val="5_(2)"/>
      <sheetName val="6_(2)"/>
      <sheetName val="7_(2)"/>
      <sheetName val="8_(2)"/>
      <sheetName val="9_(2)"/>
      <sheetName val="10_(2)"/>
      <sheetName val="11_(2)"/>
      <sheetName val="12_(2)"/>
      <sheetName val="12_(3)1"/>
      <sheetName val="2_(2)1"/>
      <sheetName val="4_(2)1"/>
      <sheetName val="5_(2)1"/>
      <sheetName val="6_(2)1"/>
      <sheetName val="7_(2)1"/>
      <sheetName val="8_(2)1"/>
      <sheetName val="9_(2)1"/>
      <sheetName val="10_(2)1"/>
      <sheetName val="11_(2)1"/>
      <sheetName val="12_(2)1"/>
      <sheetName val="12_(3)2"/>
      <sheetName val="2_(2)2"/>
      <sheetName val="4_(2)2"/>
      <sheetName val="5_(2)2"/>
      <sheetName val="6_(2)2"/>
      <sheetName val="7_(2)2"/>
      <sheetName val="8_(2)2"/>
      <sheetName val="9_(2)2"/>
      <sheetName val="10_(2)2"/>
      <sheetName val="11_(2)2"/>
      <sheetName val="12_(2)2"/>
      <sheetName val="12_(3)3"/>
      <sheetName val="2_(2)3"/>
      <sheetName val="4_(2)3"/>
      <sheetName val="5_(2)3"/>
      <sheetName val="6_(2)3"/>
      <sheetName val="7_(2)3"/>
      <sheetName val="8_(2)3"/>
      <sheetName val="9_(2)3"/>
      <sheetName val="10_(2)3"/>
      <sheetName val="11_(2)3"/>
      <sheetName val="12_(2)3"/>
      <sheetName val="12_(3)4"/>
      <sheetName val="2_(2)4"/>
      <sheetName val="4_(2)4"/>
      <sheetName val="5_(2)4"/>
      <sheetName val="6_(2)4"/>
      <sheetName val="7_(2)4"/>
      <sheetName val="8_(2)4"/>
      <sheetName val="9_(2)4"/>
      <sheetName val="10_(2)4"/>
      <sheetName val="11_(2)4"/>
      <sheetName val="12_(2)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 refreshError="1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</sheetDataSet>
  </externalBook>
</externalLink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FFC000"/>
    <outlinePr summaryBelow="1" summaryRight="1"/>
    <pageSetUpPr fitToPage="1"/>
  </sheetPr>
  <dimension ref="A1:W46"/>
  <sheetViews>
    <sheetView showZeros="0" tabSelected="1" view="pageBreakPreview" topLeftCell="A15" zoomScale="80" zoomScaleNormal="87" zoomScaleSheetLayoutView="80" workbookViewId="0">
      <selection activeCell="B3" sqref="B3:F7"/>
    </sheetView>
  </sheetViews>
  <sheetFormatPr baseColWidth="8" defaultColWidth="9" defaultRowHeight="16.5"/>
  <cols>
    <col width="0.875" customWidth="1" style="2" min="1" max="1"/>
    <col width="3.625" customWidth="1" style="1" min="2" max="2"/>
    <col width="10.625" customWidth="1" style="1" min="3" max="4"/>
    <col width="8.625" customWidth="1" style="1" min="5" max="5"/>
    <col width="25.625" customWidth="1" style="1" min="6" max="6"/>
    <col width="8.625" customWidth="1" style="1" min="7" max="7"/>
    <col width="11.375" bestFit="1" customWidth="1" style="1" min="8" max="8"/>
    <col width="12.5" bestFit="1" customWidth="1" style="1" min="9" max="9"/>
    <col width="8.25" customWidth="1" style="1" min="10" max="11"/>
    <col width="10.375" customWidth="1" style="1" min="12" max="12"/>
    <col width="9" customWidth="1" style="1" min="13" max="13"/>
    <col width="13.125" customWidth="1" style="1" min="14" max="14"/>
    <col width="6.375" customWidth="1" style="1" min="15" max="15"/>
    <col width="9" customWidth="1" style="1" min="16" max="16"/>
    <col width="14.125" customWidth="1" style="1" min="17" max="17"/>
    <col width="9" customWidth="1" style="1" min="18" max="18"/>
    <col width="18.875" bestFit="1" customWidth="1" style="1" min="19" max="19"/>
    <col width="20" bestFit="1" customWidth="1" style="1" min="20" max="20"/>
    <col width="9" customWidth="1" style="1" min="21" max="16384"/>
  </cols>
  <sheetData>
    <row r="1" ht="47.25" customHeight="1" s="176">
      <c r="B1" s="177" t="inlineStr">
        <is>
          <t>COMMERCIAL INVOICE &amp; PACKING LIST</t>
        </is>
      </c>
      <c r="C1" s="178" t="n"/>
      <c r="D1" s="178" t="n"/>
      <c r="E1" s="178" t="n"/>
      <c r="F1" s="178" t="n"/>
      <c r="G1" s="178" t="n"/>
      <c r="H1" s="178" t="n"/>
      <c r="I1" s="178" t="n"/>
      <c r="J1" s="178" t="n"/>
      <c r="K1" s="178" t="n"/>
      <c r="L1" s="179" t="n"/>
      <c r="S1" s="37" t="n"/>
      <c r="T1" s="37" t="n"/>
      <c r="U1" s="37" t="n"/>
      <c r="V1" s="37" t="n"/>
    </row>
    <row r="2" ht="18" customHeight="1" s="176">
      <c r="B2" s="180" t="inlineStr">
        <is>
          <t>1) Shipper / Exporter</t>
        </is>
      </c>
      <c r="C2" s="181" t="n"/>
      <c r="D2" s="181" t="n"/>
      <c r="E2" s="181" t="n"/>
      <c r="F2" s="182" t="n"/>
      <c r="G2" s="87" t="inlineStr">
        <is>
          <t>8) No. &amp; date of invoice</t>
        </is>
      </c>
      <c r="H2" s="181" t="n"/>
      <c r="I2" s="181" t="n"/>
      <c r="J2" s="181" t="n"/>
      <c r="K2" s="181" t="n"/>
      <c r="L2" s="182" t="n"/>
      <c r="N2" s="166" t="inlineStr">
        <is>
          <t>INCHOEN, KOREA</t>
        </is>
      </c>
      <c r="O2" s="179" t="n"/>
      <c r="P2" s="183" t="inlineStr">
        <is>
          <t>AZERBAIJAN</t>
        </is>
      </c>
      <c r="Q2" s="179" t="n"/>
      <c r="S2" s="37" t="inlineStr">
        <is>
          <t>INCHOEN, KOREA</t>
        </is>
      </c>
      <c r="T2" s="37" t="inlineStr">
        <is>
          <t>AZERBAIJAN</t>
        </is>
      </c>
      <c r="U2" s="37" t="n"/>
      <c r="V2" s="37" t="n"/>
    </row>
    <row r="3" ht="15.75" customHeight="1" s="176">
      <c r="B3" s="184" t="inlineStr">
        <is>
          <t>SSANCAR LTD.,
163 Sangidaehak-ro, Siheung-si,
Gyeonggi-do, Republic of Korea
TEL:82-505-355-9977 
FAX:82-505-366-9977
EMAIL : man99777@naver.com</t>
        </is>
      </c>
      <c r="F3" s="185" t="n"/>
      <c r="G3" s="95" t="n"/>
      <c r="J3" s="186">
        <f>TODAY()</f>
        <v/>
      </c>
      <c r="L3" s="185" t="n"/>
      <c r="N3" s="166" t="inlineStr">
        <is>
          <t>MASAN, KOREA</t>
        </is>
      </c>
      <c r="O3" s="179" t="n"/>
      <c r="P3" s="183" t="inlineStr">
        <is>
          <t>DURRESS,  ALBANIA</t>
        </is>
      </c>
      <c r="Q3" s="179" t="n"/>
      <c r="S3" s="37" t="inlineStr">
        <is>
          <t>MASAN, KOREA</t>
        </is>
      </c>
      <c r="T3" s="37" t="inlineStr">
        <is>
          <t>DURRESS,  ALBANIA</t>
        </is>
      </c>
      <c r="U3" s="37" t="n"/>
      <c r="V3" s="37" t="n"/>
    </row>
    <row r="4" ht="15.75" customHeight="1" s="176">
      <c r="B4" s="187" t="n"/>
      <c r="F4" s="185" t="n"/>
      <c r="G4" s="188" t="n"/>
      <c r="H4" s="188" t="n"/>
      <c r="I4" s="188" t="n"/>
      <c r="J4" s="188" t="n"/>
      <c r="K4" s="188" t="n"/>
      <c r="L4" s="189" t="n"/>
      <c r="N4" s="159" t="inlineStr">
        <is>
          <t>PYEONGTAEK, KOREA</t>
        </is>
      </c>
      <c r="O4" s="179" t="n"/>
      <c r="P4" s="183" t="inlineStr">
        <is>
          <t>KYRGYZSTAN</t>
        </is>
      </c>
      <c r="Q4" s="179" t="n"/>
      <c r="S4" s="37" t="inlineStr">
        <is>
          <t>PYEONGTAEK, KOREA</t>
        </is>
      </c>
      <c r="T4" s="37" t="inlineStr">
        <is>
          <t>KYRGYZSTAN</t>
        </is>
      </c>
      <c r="U4" s="37" t="n"/>
      <c r="V4" s="37" t="n"/>
    </row>
    <row r="5" ht="18" customHeight="1" s="176">
      <c r="B5" s="187" t="n"/>
      <c r="F5" s="185" t="n"/>
      <c r="G5" s="109" t="inlineStr">
        <is>
          <t>9) No. &amp; date of L/C</t>
        </is>
      </c>
      <c r="L5" s="185" t="n"/>
      <c r="N5" s="159" t="inlineStr">
        <is>
          <t>BUSAN, KOREA</t>
        </is>
      </c>
      <c r="O5" s="179" t="n"/>
      <c r="P5" s="183" t="inlineStr">
        <is>
          <t>VLADIVOSTOK,  RUSSIA</t>
        </is>
      </c>
      <c r="Q5" s="179" t="n"/>
      <c r="S5" s="37" t="inlineStr">
        <is>
          <t>BUSAN, KOREA</t>
        </is>
      </c>
      <c r="T5" s="37" t="inlineStr">
        <is>
          <t>VLADIVOSTOK,  RUSSIA</t>
        </is>
      </c>
      <c r="U5" s="37" t="n"/>
      <c r="V5" s="37" t="n"/>
    </row>
    <row r="6" ht="15.75" customHeight="1" s="176">
      <c r="B6" s="187" t="n"/>
      <c r="F6" s="185" t="n"/>
      <c r="G6" s="113" t="inlineStr">
        <is>
          <t>TTR BASE</t>
        </is>
      </c>
      <c r="L6" s="185" t="n"/>
      <c r="N6" s="159" t="inlineStr">
        <is>
          <t xml:space="preserve"> </t>
        </is>
      </c>
      <c r="O6" s="179" t="n"/>
      <c r="P6" s="183" t="inlineStr">
        <is>
          <t>KAZAKHSTAN</t>
        </is>
      </c>
      <c r="Q6" s="179" t="n"/>
      <c r="S6" s="37" t="n"/>
      <c r="T6" s="37" t="inlineStr">
        <is>
          <t>KAZAKHSTAN</t>
        </is>
      </c>
      <c r="U6" s="37" t="n"/>
      <c r="V6" s="37" t="n"/>
    </row>
    <row r="7" ht="15.75" customHeight="1" s="176">
      <c r="B7" s="190" t="n"/>
      <c r="C7" s="188" t="n"/>
      <c r="D7" s="188" t="n"/>
      <c r="E7" s="188" t="n"/>
      <c r="F7" s="189" t="n"/>
      <c r="G7" s="188" t="n"/>
      <c r="H7" s="188" t="n"/>
      <c r="I7" s="188" t="n"/>
      <c r="J7" s="188" t="n"/>
      <c r="K7" s="188" t="n"/>
      <c r="L7" s="189" t="n"/>
      <c r="N7" s="159" t="n"/>
      <c r="O7" s="179" t="n"/>
      <c r="P7" s="163" t="inlineStr">
        <is>
          <t>BURGAS,  BULGARIA</t>
        </is>
      </c>
      <c r="Q7" s="179" t="n"/>
      <c r="S7" s="37" t="n"/>
      <c r="T7" s="37" t="inlineStr">
        <is>
          <t>BURGAS,  BULGARIA</t>
        </is>
      </c>
      <c r="U7" s="37" t="n"/>
      <c r="V7" s="37" t="n"/>
    </row>
    <row r="8" ht="18" customHeight="1" s="176">
      <c r="B8" s="180" t="inlineStr">
        <is>
          <t>2) For account &amp; risk of Messers.</t>
        </is>
      </c>
      <c r="C8" s="181" t="n"/>
      <c r="D8" s="181" t="n"/>
      <c r="E8" s="181" t="n"/>
      <c r="F8" s="182" t="n"/>
      <c r="G8" s="87" t="inlineStr">
        <is>
          <t>10) L/C issuing bank</t>
        </is>
      </c>
      <c r="H8" s="181" t="n"/>
      <c r="I8" s="181" t="n"/>
      <c r="J8" s="181" t="n"/>
      <c r="K8" s="181" t="n"/>
      <c r="L8" s="182" t="n"/>
      <c r="N8" s="159" t="inlineStr">
        <is>
          <t xml:space="preserve"> </t>
        </is>
      </c>
      <c r="O8" s="179" t="n"/>
      <c r="P8" s="163" t="inlineStr">
        <is>
          <t>KLAIPEDA</t>
        </is>
      </c>
      <c r="Q8" s="179" t="n"/>
      <c r="S8" s="37" t="n"/>
      <c r="T8" s="37" t="inlineStr">
        <is>
          <t>KLAIPEDA</t>
        </is>
      </c>
      <c r="U8" s="37" t="n"/>
      <c r="V8" s="37" t="n"/>
    </row>
    <row r="9" ht="48.75" customHeight="1" s="176">
      <c r="B9" s="191" t="inlineStr">
        <is>
          <t>IMP. EXP. HANNA LTDA
RUT 77177119-K
MZ. F SITIO 062-A,
IQUIQUE, CHILE
TEL : 56 9 5462 5794</t>
        </is>
      </c>
      <c r="F9" s="185" t="n"/>
      <c r="G9" s="192" t="inlineStr">
        <is>
          <t xml:space="preserve"> </t>
        </is>
      </c>
      <c r="L9" s="185" t="n"/>
      <c r="N9" s="159" t="inlineStr">
        <is>
          <t xml:space="preserve"> </t>
        </is>
      </c>
      <c r="O9" s="179" t="n"/>
      <c r="P9" s="163" t="inlineStr">
        <is>
          <t>NORRKOPING</t>
        </is>
      </c>
      <c r="Q9" s="179" t="n"/>
      <c r="S9" s="37" t="n"/>
      <c r="T9" s="37" t="inlineStr">
        <is>
          <t>NORRKOPING</t>
        </is>
      </c>
      <c r="U9" s="37" t="n"/>
      <c r="V9" s="37" t="n"/>
    </row>
    <row r="10" ht="18" customHeight="1" s="176">
      <c r="B10" s="187" t="n"/>
      <c r="F10" s="185" t="n"/>
      <c r="G10" s="87" t="inlineStr">
        <is>
          <t>*Remark</t>
        </is>
      </c>
      <c r="H10" s="181" t="n"/>
      <c r="I10" s="181" t="n"/>
      <c r="J10" s="181" t="n"/>
      <c r="K10" s="181" t="n"/>
      <c r="L10" s="182" t="n"/>
      <c r="N10" s="159" t="inlineStr">
        <is>
          <t xml:space="preserve"> </t>
        </is>
      </c>
      <c r="O10" s="179" t="n"/>
      <c r="P10" s="183" t="inlineStr">
        <is>
          <t>U.A.E (DUBAI)</t>
        </is>
      </c>
      <c r="Q10" s="179" t="n"/>
      <c r="S10" s="37" t="n"/>
      <c r="T10" s="37" t="inlineStr">
        <is>
          <t>U.A.E (DUBAI)</t>
        </is>
      </c>
      <c r="U10" s="37" t="n"/>
      <c r="V10" s="37" t="n"/>
    </row>
    <row r="11" ht="29.25" customHeight="1" s="176">
      <c r="B11" s="190" t="n"/>
      <c r="C11" s="188" t="n"/>
      <c r="D11" s="188" t="n"/>
      <c r="E11" s="188" t="n"/>
      <c r="F11" s="189" t="n"/>
      <c r="G11" s="114" t="inlineStr">
        <is>
          <t>USED KOREAN CARS</t>
        </is>
      </c>
      <c r="J11" s="193" t="inlineStr">
        <is>
          <t>Q'TY : UNIT</t>
        </is>
      </c>
      <c r="L11" s="185" t="n"/>
      <c r="N11" s="159" t="inlineStr">
        <is>
          <t xml:space="preserve"> </t>
        </is>
      </c>
      <c r="O11" s="179" t="n"/>
      <c r="P11" s="163" t="inlineStr">
        <is>
          <t>FRANCE</t>
        </is>
      </c>
      <c r="Q11" s="179" t="n"/>
      <c r="S11" s="37" t="n"/>
      <c r="T11" s="37" t="inlineStr">
        <is>
          <t>FRANCE</t>
        </is>
      </c>
      <c r="U11" s="37" t="n"/>
      <c r="V11" s="37" t="n"/>
    </row>
    <row r="12" ht="18" customHeight="1" s="176">
      <c r="B12" s="85" t="inlineStr">
        <is>
          <t>3) Notify party</t>
        </is>
      </c>
      <c r="C12" s="181" t="n"/>
      <c r="D12" s="181" t="n"/>
      <c r="E12" s="181" t="n"/>
      <c r="F12" s="181" t="n"/>
      <c r="G12" s="194" t="inlineStr">
        <is>
          <t>CONTAINER</t>
        </is>
      </c>
      <c r="L12" s="185" t="n"/>
      <c r="N12" s="159" t="inlineStr">
        <is>
          <t xml:space="preserve"> </t>
        </is>
      </c>
      <c r="O12" s="179" t="n"/>
      <c r="P12" s="183" t="inlineStr">
        <is>
          <t>CHILE</t>
        </is>
      </c>
      <c r="Q12" s="179" t="n"/>
      <c r="S12" s="37" t="n"/>
      <c r="T12" s="37" t="inlineStr">
        <is>
          <t>IQUIQUE, CHILE</t>
        </is>
      </c>
      <c r="U12" s="37" t="n"/>
      <c r="V12" s="37" t="n"/>
    </row>
    <row r="13" ht="13.5" customHeight="1" s="176">
      <c r="B13" s="131" t="inlineStr">
        <is>
          <t>SAME AS ABOVE</t>
        </is>
      </c>
      <c r="G13" s="187" t="n"/>
      <c r="L13" s="185" t="n"/>
      <c r="S13" s="37" t="n"/>
      <c r="T13" s="37" t="n"/>
      <c r="U13" s="37" t="n"/>
      <c r="V13" s="37" t="n"/>
    </row>
    <row r="14" ht="13.5" customHeight="1" s="176">
      <c r="B14" s="190" t="n"/>
      <c r="C14" s="188" t="n"/>
      <c r="D14" s="188" t="n"/>
      <c r="E14" s="188" t="n"/>
      <c r="F14" s="188" t="n"/>
      <c r="G14" s="187" t="n"/>
      <c r="L14" s="185" t="n"/>
      <c r="N14" s="175" t="inlineStr">
        <is>
          <t>SSANCAR MADAGASCAR
TEL:033-152-9977 / 034-142-9977
101 ANTANANARIVO MADAGASCAR
LOT SIBD 35 TSARALALANA ANALAMANGA</t>
        </is>
      </c>
      <c r="S14" s="37" t="n"/>
      <c r="T14" s="37" t="n"/>
      <c r="U14" s="37" t="n"/>
      <c r="V14" s="37" t="n"/>
    </row>
    <row r="15" ht="18" customHeight="1" s="176">
      <c r="B15" s="180" t="inlineStr">
        <is>
          <t>4) Port of loading</t>
        </is>
      </c>
      <c r="C15" s="181" t="n"/>
      <c r="D15" s="182" t="n"/>
      <c r="E15" s="86" t="inlineStr">
        <is>
          <t>5) Final Destination</t>
        </is>
      </c>
      <c r="F15" s="181" t="n"/>
      <c r="G15" s="122" t="inlineStr">
        <is>
          <t xml:space="preserve">반입지 : </t>
        </is>
      </c>
      <c r="I15" s="107" t="inlineStr">
        <is>
          <t>PNIT (030-77-013)</t>
        </is>
      </c>
      <c r="L15" s="185" t="n"/>
      <c r="S15" s="37" t="n"/>
      <c r="T15" s="37" t="n"/>
      <c r="U15" s="37" t="n"/>
      <c r="V15" s="37" t="n"/>
    </row>
    <row r="16" ht="24" customHeight="1" s="176">
      <c r="B16" s="125" t="inlineStr">
        <is>
          <t>BUSAN, KOREA</t>
        </is>
      </c>
      <c r="C16" s="188" t="n"/>
      <c r="D16" s="188" t="n"/>
      <c r="E16" s="127" t="inlineStr">
        <is>
          <t>IQUIQUE, CHILE</t>
        </is>
      </c>
      <c r="F16" s="188" t="n"/>
      <c r="G16" s="187" t="n"/>
      <c r="L16" s="185" t="n"/>
      <c r="S16" s="37" t="n"/>
      <c r="T16" s="37" t="n"/>
      <c r="U16" s="37" t="n"/>
      <c r="V16" s="37" t="n"/>
    </row>
    <row r="17" ht="18" customHeight="1" s="176">
      <c r="B17" s="180" t="inlineStr">
        <is>
          <t>6) Vessel name</t>
        </is>
      </c>
      <c r="C17" s="181" t="n"/>
      <c r="D17" s="182" t="n"/>
      <c r="E17" s="86" t="inlineStr">
        <is>
          <t>7) Sailing on or about</t>
        </is>
      </c>
      <c r="F17" s="181" t="n"/>
      <c r="G17" s="149" t="inlineStr">
        <is>
          <t>CONTAINER NO :</t>
        </is>
      </c>
      <c r="I17" s="141" t="inlineStr">
        <is>
          <t>TRHU6652495 / KRAT55828</t>
        </is>
      </c>
      <c r="L17" s="185" t="n"/>
      <c r="S17" s="37" t="n"/>
      <c r="T17" s="37" t="n"/>
      <c r="U17" s="37" t="n"/>
      <c r="V17" s="37" t="n"/>
    </row>
    <row r="18" ht="24" customHeight="1" s="176">
      <c r="B18" s="137" t="n"/>
      <c r="C18" s="188" t="n"/>
      <c r="D18" s="188" t="n"/>
      <c r="E18" s="137" t="n"/>
      <c r="F18" s="188" t="n"/>
      <c r="G18" s="190" t="n"/>
      <c r="H18" s="188" t="n"/>
      <c r="I18" s="188" t="n"/>
      <c r="J18" s="188" t="n"/>
      <c r="K18" s="188" t="n"/>
      <c r="L18" s="189" t="n"/>
      <c r="N18" s="158" t="n"/>
      <c r="S18" s="37" t="n"/>
      <c r="T18" s="37" t="n"/>
      <c r="U18" s="37" t="n"/>
      <c r="V18" s="37" t="n"/>
    </row>
    <row r="19" ht="29.25" customHeight="1" s="176">
      <c r="B19" s="22" t="inlineStr">
        <is>
          <t>11) MARKS AND NUMBERS OF PKGS</t>
        </is>
      </c>
      <c r="C19" s="22" t="n"/>
      <c r="D19" s="16" t="n"/>
      <c r="E19" s="16" t="inlineStr">
        <is>
          <t>12) Description of Goods</t>
        </is>
      </c>
      <c r="F19" s="16" t="n"/>
      <c r="G19" s="19" t="inlineStr">
        <is>
          <t>13) Quantity</t>
        </is>
      </c>
      <c r="H19" s="19" t="inlineStr">
        <is>
          <t>14) Unit price</t>
        </is>
      </c>
      <c r="I19" s="19" t="inlineStr">
        <is>
          <t>15) Amount</t>
        </is>
      </c>
      <c r="J19" s="19" t="inlineStr">
        <is>
          <t>16) WEIGHT</t>
        </is>
      </c>
      <c r="K19" s="19" t="inlineStr">
        <is>
          <t>17) CBM</t>
        </is>
      </c>
      <c r="L19" s="20" t="inlineStr">
        <is>
          <t>18) DISPLACE-
MENT(cc)</t>
        </is>
      </c>
      <c r="N19" s="43" t="inlineStr">
        <is>
          <t>인천구항</t>
        </is>
      </c>
      <c r="O19" s="174" t="inlineStr">
        <is>
          <t>인천</t>
        </is>
      </c>
      <c r="P19" s="174" t="inlineStr">
        <is>
          <t>ICT ( 020-77-002 )</t>
        </is>
      </c>
      <c r="Q19" s="179" t="n"/>
      <c r="R19" s="37" t="n"/>
      <c r="S19" s="37" t="inlineStr">
        <is>
          <t>ICT ( 020-77-002 )</t>
        </is>
      </c>
      <c r="T19" s="37" t="n"/>
    </row>
    <row r="20" ht="25.5" customFormat="1" customHeight="1" s="7">
      <c r="A20" s="3" t="n"/>
      <c r="B20" s="23" t="inlineStr">
        <is>
          <t>NO.</t>
        </is>
      </c>
      <c r="C20" s="136" t="inlineStr">
        <is>
          <t>Commodity</t>
        </is>
      </c>
      <c r="D20" s="181" t="n"/>
      <c r="E20" s="4" t="inlineStr">
        <is>
          <t>Year</t>
        </is>
      </c>
      <c r="F20" s="4" t="inlineStr">
        <is>
          <t>Chassis No.</t>
        </is>
      </c>
      <c r="G20" s="195" t="inlineStr">
        <is>
          <t>Q'TY</t>
        </is>
      </c>
      <c r="H20" s="196" t="inlineStr">
        <is>
          <t>Unit Price</t>
        </is>
      </c>
      <c r="I20" s="197" t="inlineStr">
        <is>
          <t>AMOUNT</t>
        </is>
      </c>
      <c r="J20" s="6" t="inlineStr">
        <is>
          <t>Weight
(KG)</t>
        </is>
      </c>
      <c r="K20" s="4" t="inlineStr">
        <is>
          <t>CBM</t>
        </is>
      </c>
      <c r="L20" s="198" t="inlineStr">
        <is>
          <t>Shipping</t>
        </is>
      </c>
      <c r="N20" s="43" t="inlineStr">
        <is>
          <t>선광신항</t>
        </is>
      </c>
      <c r="O20" s="174" t="inlineStr">
        <is>
          <t>인천</t>
        </is>
      </c>
      <c r="P20" s="174" t="inlineStr">
        <is>
          <t xml:space="preserve"> SNCT  ( 020-12-014 )</t>
        </is>
      </c>
      <c r="Q20" s="179" t="n"/>
      <c r="R20" s="37" t="n"/>
      <c r="S20" s="37" t="inlineStr">
        <is>
          <t>SNCT  ( 020-12-014 )</t>
        </is>
      </c>
      <c r="T20" s="37" t="n"/>
      <c r="U20" s="1" t="n"/>
      <c r="V20" s="1" t="n"/>
      <c r="W20" s="1" t="n"/>
    </row>
    <row r="21" ht="27" customFormat="1" customHeight="1" s="199">
      <c r="A21" s="200" t="n"/>
      <c r="B21" s="50" t="n">
        <v>1</v>
      </c>
      <c r="C21" s="201" t="inlineStr">
        <is>
          <t>HYUNDAI</t>
        </is>
      </c>
      <c r="D21" s="202" t="inlineStr">
        <is>
          <t>ACCENT</t>
        </is>
      </c>
      <c r="E21" s="72" t="n">
        <v>2016</v>
      </c>
      <c r="F21" s="73" t="inlineStr">
        <is>
          <t>KMHCT51UGGU281238</t>
        </is>
      </c>
      <c r="G21" s="74" t="n">
        <v>1</v>
      </c>
      <c r="H21" s="203" t="n">
        <v>2300</v>
      </c>
      <c r="I21" s="204">
        <f>H21</f>
        <v/>
      </c>
      <c r="J21" s="205" t="n">
        <v>1545</v>
      </c>
      <c r="K21" s="206" t="n"/>
      <c r="L21" s="207" t="n">
        <v>1075</v>
      </c>
      <c r="M21" s="208">
        <f>SUM(I21,L21)</f>
        <v/>
      </c>
      <c r="N21" s="43" t="inlineStr">
        <is>
          <t>한진</t>
        </is>
      </c>
      <c r="O21" s="174" t="inlineStr">
        <is>
          <t>인천</t>
        </is>
      </c>
      <c r="P21" s="174" t="inlineStr">
        <is>
          <t>HJIT  ( 020-12-016 )</t>
        </is>
      </c>
      <c r="Q21" s="179" t="n"/>
      <c r="R21" s="37" t="n"/>
      <c r="S21" s="37" t="inlineStr">
        <is>
          <t>HJIT  ( 020-12-016 )</t>
        </is>
      </c>
      <c r="T21" s="37" t="n"/>
      <c r="U21" s="7" t="n"/>
      <c r="V21" s="7" t="n"/>
      <c r="W21" s="7" t="n"/>
    </row>
    <row r="22" ht="23.25" customFormat="1" customHeight="1" s="199">
      <c r="A22" s="200" t="n"/>
      <c r="B22" s="209" t="n"/>
      <c r="C22" s="155" t="inlineStr">
        <is>
          <t>TYPE OF FUEL :</t>
        </is>
      </c>
      <c r="D22" s="178" t="n"/>
      <c r="E22" s="79" t="inlineStr">
        <is>
          <t xml:space="preserve"> DIESEL </t>
        </is>
      </c>
      <c r="F22" s="156" t="inlineStr">
        <is>
          <t xml:space="preserve">/    PISTON  DISPLACEMENT : </t>
        </is>
      </c>
      <c r="G22" s="210" t="n">
        <v>1582</v>
      </c>
      <c r="I22" s="156" t="n"/>
      <c r="J22" s="143" t="n"/>
      <c r="K22" s="178" t="n"/>
      <c r="L22" s="179" t="n"/>
      <c r="M22" s="208" t="n"/>
      <c r="N22" s="43" t="inlineStr">
        <is>
          <t>평택</t>
        </is>
      </c>
      <c r="O22" s="45" t="inlineStr">
        <is>
          <t>평택</t>
        </is>
      </c>
      <c r="P22" s="174" t="inlineStr">
        <is>
          <t>PCTC  ( 016-12-033 )</t>
        </is>
      </c>
      <c r="Q22" s="179" t="n"/>
      <c r="R22" s="37" t="n"/>
      <c r="S22" s="37" t="inlineStr">
        <is>
          <t>PCTC  ( 016-12-033 )</t>
        </is>
      </c>
      <c r="T22" s="38" t="n"/>
      <c r="U22" s="7" t="n"/>
    </row>
    <row r="23" ht="33" customFormat="1" customHeight="1" s="199">
      <c r="A23" s="200" t="n"/>
      <c r="B23" s="211" t="n"/>
      <c r="C23" s="212" t="inlineStr">
        <is>
          <t xml:space="preserve"> </t>
        </is>
      </c>
      <c r="D23" s="178" t="n"/>
      <c r="E23" s="178" t="n"/>
      <c r="F23" s="178" t="n"/>
      <c r="G23" s="178" t="n"/>
      <c r="H23" s="178" t="n"/>
      <c r="I23" s="178" t="n"/>
      <c r="J23" s="178" t="n"/>
      <c r="K23" s="178" t="n"/>
      <c r="L23" s="179" t="n"/>
      <c r="M23" s="208" t="n"/>
      <c r="N23" s="43" t="inlineStr">
        <is>
          <t>동방아이포트</t>
        </is>
      </c>
      <c r="O23" s="45" t="inlineStr">
        <is>
          <t>평택</t>
        </is>
      </c>
      <c r="P23" s="174" t="inlineStr">
        <is>
          <t>PNCT  ( 016-12-002 )</t>
        </is>
      </c>
      <c r="Q23" s="179" t="n"/>
      <c r="R23" s="37" t="n"/>
      <c r="S23" s="37" t="inlineStr">
        <is>
          <t>PNCT  ( 016-12-002 )</t>
        </is>
      </c>
      <c r="T23" s="38" t="n"/>
    </row>
    <row r="24" ht="27" customFormat="1" customHeight="1" s="199">
      <c r="A24" s="200" t="n"/>
      <c r="B24" s="50" t="n">
        <v>2</v>
      </c>
      <c r="C24" s="201" t="inlineStr">
        <is>
          <t>HYUNDAI</t>
        </is>
      </c>
      <c r="D24" s="202" t="inlineStr">
        <is>
          <t>GRAND STAREX</t>
        </is>
      </c>
      <c r="E24" s="72" t="n">
        <v>2017</v>
      </c>
      <c r="F24" s="73" t="inlineStr">
        <is>
          <t>KMJWA37KBHU886217</t>
        </is>
      </c>
      <c r="G24" s="74" t="n">
        <v>1</v>
      </c>
      <c r="H24" s="203" t="n">
        <v>6400</v>
      </c>
      <c r="I24" s="204">
        <f>H24</f>
        <v/>
      </c>
      <c r="J24" s="205" t="n">
        <v>3075</v>
      </c>
      <c r="K24" s="206" t="n"/>
      <c r="L24" s="207" t="n">
        <v>1075</v>
      </c>
      <c r="M24" s="208">
        <f>SUM(I24,L24)</f>
        <v/>
      </c>
      <c r="N24" s="43" t="inlineStr">
        <is>
          <t>부산국제신항</t>
        </is>
      </c>
      <c r="O24" s="213" t="inlineStr">
        <is>
          <t>부산</t>
        </is>
      </c>
      <c r="P24" s="174" t="inlineStr">
        <is>
          <t>PNIT (030-77-013)</t>
        </is>
      </c>
      <c r="Q24" s="179" t="n"/>
      <c r="R24" s="37" t="n"/>
      <c r="S24" s="37" t="inlineStr">
        <is>
          <t>PNIT (030-77-013)</t>
        </is>
      </c>
    </row>
    <row r="25" ht="23.25" customFormat="1" customHeight="1" s="199">
      <c r="A25" s="200" t="n"/>
      <c r="B25" s="209" t="n"/>
      <c r="C25" s="155" t="inlineStr">
        <is>
          <t>TYPE OF FUEL :</t>
        </is>
      </c>
      <c r="D25" s="178" t="n"/>
      <c r="E25" s="79" t="inlineStr">
        <is>
          <t xml:space="preserve"> DIESEL </t>
        </is>
      </c>
      <c r="F25" s="156" t="inlineStr">
        <is>
          <t xml:space="preserve">/    PISTON  DISPLACEMENT : </t>
        </is>
      </c>
      <c r="G25" s="210" t="n">
        <v>2497</v>
      </c>
      <c r="I25" s="156" t="n"/>
      <c r="J25" s="143" t="n"/>
      <c r="K25" s="178" t="n"/>
      <c r="L25" s="179" t="n"/>
      <c r="M25" s="208" t="n"/>
      <c r="N25" s="43" t="inlineStr">
        <is>
          <t>부산 신항만</t>
        </is>
      </c>
      <c r="O25" s="213" t="inlineStr">
        <is>
          <t>부산</t>
        </is>
      </c>
      <c r="P25" s="174" t="inlineStr">
        <is>
          <t>HPNT (030-77-011)</t>
        </is>
      </c>
      <c r="Q25" s="179" t="n"/>
      <c r="R25" s="37" t="n"/>
      <c r="S25" s="37" t="inlineStr">
        <is>
          <t>HPNT (030-77-011)</t>
        </is>
      </c>
    </row>
    <row r="26" ht="33" customFormat="1" customHeight="1" s="199">
      <c r="A26" s="200" t="n"/>
      <c r="B26" s="211" t="n"/>
      <c r="C26" s="212" t="inlineStr">
        <is>
          <t xml:space="preserve"> </t>
        </is>
      </c>
      <c r="D26" s="178" t="n"/>
      <c r="E26" s="178" t="n"/>
      <c r="F26" s="178" t="n"/>
      <c r="G26" s="178" t="n"/>
      <c r="H26" s="178" t="n"/>
      <c r="I26" s="178" t="n"/>
      <c r="J26" s="178" t="n"/>
      <c r="K26" s="178" t="n"/>
      <c r="L26" s="179" t="n"/>
      <c r="M26" s="208" t="n"/>
      <c r="N26" s="43" t="inlineStr">
        <is>
          <t>부산신항터미널</t>
        </is>
      </c>
      <c r="O26" s="213" t="inlineStr">
        <is>
          <t>부산</t>
        </is>
      </c>
      <c r="P26" s="174" t="inlineStr">
        <is>
          <t>BNCT (030-77-026)</t>
        </is>
      </c>
      <c r="Q26" s="179" t="n"/>
      <c r="S26" s="39" t="inlineStr">
        <is>
          <t>BNCT (030-77-026)</t>
        </is>
      </c>
    </row>
    <row r="27" ht="27" customFormat="1" customHeight="1" s="199">
      <c r="A27" s="200" t="n"/>
      <c r="B27" s="50" t="n">
        <v>3</v>
      </c>
      <c r="C27" s="201" t="inlineStr">
        <is>
          <t>HYUNDAI</t>
        </is>
      </c>
      <c r="D27" s="202" t="inlineStr">
        <is>
          <t>GRAND STAREX</t>
        </is>
      </c>
      <c r="E27" s="72" t="n">
        <v>2015</v>
      </c>
      <c r="F27" s="73" t="inlineStr">
        <is>
          <t>KMJWA37KAFU680072</t>
        </is>
      </c>
      <c r="G27" s="74" t="n">
        <v>1</v>
      </c>
      <c r="H27" s="203" t="n">
        <v>5100</v>
      </c>
      <c r="I27" s="204">
        <f>H27</f>
        <v/>
      </c>
      <c r="J27" s="205" t="n">
        <v>2965</v>
      </c>
      <c r="K27" s="206" t="n"/>
      <c r="L27" s="207" t="n">
        <v>1075</v>
      </c>
      <c r="M27" s="208">
        <f>SUM(I27,L27)</f>
        <v/>
      </c>
      <c r="N27" s="1" t="n"/>
      <c r="O27" s="9" t="n"/>
      <c r="P27" s="9" t="n"/>
      <c r="Q27" s="199" t="n"/>
      <c r="S27" s="38" t="n"/>
      <c r="U27" s="38" t="n"/>
    </row>
    <row r="28" ht="23.25" customFormat="1" customHeight="1" s="199">
      <c r="A28" s="200" t="n"/>
      <c r="B28" s="209" t="n"/>
      <c r="C28" s="155" t="inlineStr">
        <is>
          <t>TYPE OF FUEL :</t>
        </is>
      </c>
      <c r="D28" s="178" t="n"/>
      <c r="E28" s="79" t="inlineStr">
        <is>
          <t xml:space="preserve"> DIESEL </t>
        </is>
      </c>
      <c r="F28" s="156" t="inlineStr">
        <is>
          <t xml:space="preserve">/    PISTON  DISPLACEMENT : </t>
        </is>
      </c>
      <c r="G28" s="210" t="n">
        <v>2497</v>
      </c>
      <c r="I28" s="156" t="n"/>
      <c r="J28" s="143" t="n"/>
      <c r="K28" s="178" t="n"/>
      <c r="L28" s="179" t="n"/>
      <c r="M28" s="208" t="n"/>
      <c r="N28" s="1" t="n"/>
      <c r="O28" s="9" t="n"/>
      <c r="P28" s="9" t="n"/>
      <c r="Q28" s="199" t="n"/>
    </row>
    <row r="29" ht="33" customFormat="1" customHeight="1" s="199">
      <c r="A29" s="200" t="n"/>
      <c r="B29" s="211" t="n"/>
      <c r="C29" s="212" t="inlineStr">
        <is>
          <t xml:space="preserve"> </t>
        </is>
      </c>
      <c r="D29" s="178" t="n"/>
      <c r="E29" s="178" t="n"/>
      <c r="F29" s="178" t="n"/>
      <c r="G29" s="178" t="n"/>
      <c r="H29" s="178" t="n"/>
      <c r="I29" s="178" t="n"/>
      <c r="J29" s="178" t="n"/>
      <c r="K29" s="178" t="n"/>
      <c r="L29" s="179" t="n"/>
      <c r="M29" s="208" t="n"/>
      <c r="N29" s="1" t="n"/>
      <c r="O29" s="9" t="n"/>
      <c r="P29" s="9" t="n"/>
      <c r="Q29" s="199" t="n"/>
    </row>
    <row r="30" ht="27" customFormat="1" customHeight="1" s="199">
      <c r="A30" s="200" t="n"/>
      <c r="B30" s="50" t="n">
        <v>4</v>
      </c>
      <c r="C30" s="201" t="inlineStr">
        <is>
          <t>HYUNDAI</t>
        </is>
      </c>
      <c r="D30" s="202" t="inlineStr">
        <is>
          <t>ACCENT</t>
        </is>
      </c>
      <c r="E30" s="72" t="n">
        <v>2014</v>
      </c>
      <c r="F30" s="73" t="inlineStr">
        <is>
          <t>KMHCS41UBEU687864</t>
        </is>
      </c>
      <c r="G30" s="74" t="n">
        <v>1</v>
      </c>
      <c r="H30" s="203" t="n">
        <v>1600</v>
      </c>
      <c r="I30" s="204">
        <f>H30</f>
        <v/>
      </c>
      <c r="J30" s="205" t="n">
        <v>1535</v>
      </c>
      <c r="K30" s="206" t="n"/>
      <c r="L30" s="207" t="n">
        <v>1075</v>
      </c>
      <c r="M30" s="208">
        <f>SUM(I30,L30)</f>
        <v/>
      </c>
      <c r="N30" s="1" t="n"/>
      <c r="O30" s="9" t="n"/>
      <c r="P30" s="9" t="n"/>
      <c r="Q30" s="199" t="n"/>
    </row>
    <row r="31" ht="23.25" customFormat="1" customHeight="1" s="199">
      <c r="A31" s="200" t="n"/>
      <c r="B31" s="209" t="n"/>
      <c r="C31" s="155" t="inlineStr">
        <is>
          <t>TYPE OF FUEL :</t>
        </is>
      </c>
      <c r="D31" s="178" t="n"/>
      <c r="E31" s="79" t="inlineStr">
        <is>
          <t xml:space="preserve"> DIESEL </t>
        </is>
      </c>
      <c r="F31" s="156" t="inlineStr">
        <is>
          <t xml:space="preserve">/    PISTON  DISPLACEMENT : </t>
        </is>
      </c>
      <c r="G31" s="210" t="n">
        <v>1582</v>
      </c>
      <c r="I31" s="156" t="n"/>
      <c r="J31" s="143" t="n"/>
      <c r="K31" s="178" t="n"/>
      <c r="L31" s="179" t="n"/>
      <c r="M31" s="208" t="n"/>
      <c r="N31" s="1" t="n"/>
      <c r="O31" s="9" t="n"/>
      <c r="P31" s="9" t="n"/>
      <c r="Q31" s="199" t="n"/>
    </row>
    <row r="32" ht="33" customFormat="1" customHeight="1" s="199">
      <c r="A32" s="200" t="n"/>
      <c r="B32" s="211" t="inlineStr">
        <is>
          <t xml:space="preserve"> </t>
        </is>
      </c>
      <c r="C32" s="212" t="inlineStr">
        <is>
          <t xml:space="preserve"> </t>
        </is>
      </c>
      <c r="D32" s="178" t="n"/>
      <c r="E32" s="178" t="n"/>
      <c r="F32" s="178" t="n"/>
      <c r="G32" s="178" t="n"/>
      <c r="H32" s="178" t="n"/>
      <c r="I32" s="178" t="n"/>
      <c r="J32" s="178" t="n"/>
      <c r="K32" s="178" t="n"/>
      <c r="L32" s="179" t="n"/>
      <c r="M32" s="7" t="n"/>
      <c r="N32" s="1" t="n"/>
      <c r="O32" s="9" t="n"/>
      <c r="P32" s="9" t="n"/>
      <c r="Q32" s="199" t="n"/>
    </row>
    <row r="33" ht="27" customFormat="1" customHeight="1" s="199">
      <c r="A33" s="200" t="n"/>
      <c r="B33" s="50" t="n">
        <v>5</v>
      </c>
      <c r="C33" s="214" t="n"/>
      <c r="D33" s="215" t="n"/>
      <c r="E33" s="49" t="n"/>
      <c r="F33" s="48" t="n"/>
      <c r="G33" s="15" t="n"/>
      <c r="H33" s="216" t="n"/>
      <c r="I33" s="217">
        <f>H33</f>
        <v/>
      </c>
      <c r="J33" s="218" t="n"/>
      <c r="K33" s="219" t="n"/>
      <c r="L33" s="220" t="n"/>
      <c r="M33" s="208">
        <f>SUM(I33,L33)</f>
        <v/>
      </c>
      <c r="N33" s="1" t="n"/>
      <c r="O33" s="9" t="n"/>
      <c r="P33" s="9" t="n"/>
      <c r="Q33" s="199" t="n"/>
    </row>
    <row r="34" ht="23.25" customFormat="1" customHeight="1" s="199">
      <c r="A34" s="200" t="n"/>
      <c r="B34" s="209" t="n"/>
      <c r="C34" s="155" t="inlineStr">
        <is>
          <t>TYPE OF FUEL :</t>
        </is>
      </c>
      <c r="D34" s="178" t="n"/>
      <c r="E34" s="142" t="n"/>
      <c r="F34" s="156" t="inlineStr">
        <is>
          <t xml:space="preserve">/    PISTON  DISPLACEMENT : </t>
        </is>
      </c>
      <c r="G34" s="221" t="n"/>
      <c r="I34" s="156" t="n"/>
      <c r="J34" s="143" t="n"/>
      <c r="K34" s="178" t="n"/>
      <c r="L34" s="179" t="n"/>
      <c r="M34" s="208" t="n"/>
      <c r="N34" s="1" t="n"/>
      <c r="O34" s="9" t="n"/>
      <c r="P34" s="9" t="n"/>
      <c r="Q34" s="199" t="n"/>
    </row>
    <row r="35" ht="33" customFormat="1" customHeight="1" s="199">
      <c r="A35" s="200" t="n"/>
      <c r="B35" s="211" t="inlineStr">
        <is>
          <t xml:space="preserve"> </t>
        </is>
      </c>
      <c r="C35" s="212" t="inlineStr">
        <is>
          <t xml:space="preserve"> </t>
        </is>
      </c>
      <c r="D35" s="178" t="n"/>
      <c r="E35" s="178" t="n"/>
      <c r="F35" s="178" t="n"/>
      <c r="G35" s="178" t="n"/>
      <c r="H35" s="178" t="n"/>
      <c r="I35" s="178" t="n"/>
      <c r="J35" s="178" t="n"/>
      <c r="K35" s="178" t="n"/>
      <c r="L35" s="179" t="n"/>
      <c r="M35" s="7" t="n"/>
      <c r="N35" s="1" t="n"/>
      <c r="O35" s="9" t="n"/>
      <c r="P35" s="9" t="n"/>
      <c r="Q35" s="199" t="n"/>
    </row>
    <row r="36" ht="23.1" customHeight="1" s="176">
      <c r="B36" s="26" t="n"/>
      <c r="C36" s="47" t="n"/>
      <c r="D36" s="139" t="inlineStr">
        <is>
          <t xml:space="preserve"> </t>
        </is>
      </c>
      <c r="E36" s="188" t="n"/>
      <c r="F36" s="173" t="inlineStr">
        <is>
          <t xml:space="preserve"> SUB TOTAL :</t>
        </is>
      </c>
      <c r="G36" s="178" t="n"/>
      <c r="H36" s="222" t="n"/>
      <c r="I36" s="223">
        <f>SUM(I21,I24,I27,I30,I33)</f>
        <v/>
      </c>
      <c r="J36" s="224">
        <f>SUM(J21,J24,J27,J30,J33)</f>
        <v/>
      </c>
      <c r="K36" s="225">
        <f>SUM(K21,K24,K27,K30,K33)</f>
        <v/>
      </c>
      <c r="L36" s="226">
        <f>SUM(L21,L24,L27,L30,L33)</f>
        <v/>
      </c>
      <c r="M36" s="7" t="n"/>
      <c r="O36" s="9" t="n"/>
      <c r="P36" s="9" t="n"/>
      <c r="Q36" s="199" t="n"/>
      <c r="R36" s="199" t="n"/>
      <c r="S36" s="199" t="n"/>
      <c r="T36" s="199" t="n"/>
      <c r="U36" s="199" t="n"/>
      <c r="V36" s="199" t="n"/>
      <c r="W36" s="199" t="n"/>
    </row>
    <row r="37" ht="23.1" customHeight="1" s="176">
      <c r="B37" s="27" t="n"/>
      <c r="C37" s="9" t="n"/>
      <c r="D37" s="227" t="inlineStr">
        <is>
          <t>CFR</t>
        </is>
      </c>
      <c r="E37" s="182" t="n"/>
      <c r="F37" s="171" t="inlineStr">
        <is>
          <t>OCEAN FREIGHT</t>
        </is>
      </c>
      <c r="G37" s="181" t="n"/>
      <c r="H37" s="228" t="inlineStr">
        <is>
          <t xml:space="preserve"> </t>
        </is>
      </c>
      <c r="I37" s="229">
        <f>SUM(L36)</f>
        <v/>
      </c>
      <c r="J37" s="230" t="n"/>
      <c r="K37" s="229" t="n"/>
      <c r="L37" s="231" t="n"/>
      <c r="M37" s="7" t="n"/>
      <c r="O37" s="9" t="n"/>
      <c r="P37" s="9" t="n"/>
      <c r="Q37" s="199" t="n"/>
      <c r="R37" s="199" t="n"/>
      <c r="S37" s="199" t="n"/>
      <c r="T37" s="199" t="n"/>
      <c r="U37" s="199" t="n"/>
      <c r="V37" s="199" t="n"/>
      <c r="W37" s="199" t="n"/>
    </row>
    <row r="38" ht="23.1" customHeight="1" s="176" thickBot="1">
      <c r="B38" s="27" t="n"/>
      <c r="C38" s="9" t="n"/>
      <c r="D38" s="232" t="n"/>
      <c r="E38" s="233" t="n"/>
      <c r="F38" s="169" t="inlineStr">
        <is>
          <t xml:space="preserve"> </t>
        </is>
      </c>
      <c r="G38" s="232" t="n"/>
      <c r="H38" s="232" t="n"/>
      <c r="I38" s="230" t="inlineStr">
        <is>
          <t xml:space="preserve"> </t>
        </is>
      </c>
      <c r="J38" s="230" t="n"/>
      <c r="K38" s="229" t="n"/>
      <c r="L38" s="231" t="n"/>
      <c r="M38" s="7" t="n"/>
      <c r="O38" s="9" t="n"/>
      <c r="P38" s="9" t="n"/>
      <c r="Q38" s="199" t="n"/>
      <c r="R38" s="199" t="n"/>
      <c r="S38" s="199" t="n"/>
      <c r="T38" s="199" t="n"/>
      <c r="U38" s="199" t="n"/>
      <c r="V38" s="199" t="n"/>
    </row>
    <row r="39" ht="23.1" customHeight="1" s="176" thickTop="1">
      <c r="B39" s="28" t="n"/>
      <c r="C39" s="13" t="n"/>
      <c r="D39" s="146" t="inlineStr">
        <is>
          <t xml:space="preserve"> </t>
        </is>
      </c>
      <c r="E39" s="234" t="n"/>
      <c r="F39" s="157" t="inlineStr">
        <is>
          <t xml:space="preserve"> GRAND TOTAL :</t>
        </is>
      </c>
      <c r="G39" s="234" t="n"/>
      <c r="H39" s="14" t="n"/>
      <c r="I39" s="235">
        <f>SUM(I36:I38)</f>
        <v/>
      </c>
      <c r="J39" s="236" t="n"/>
      <c r="K39" s="235" t="n"/>
      <c r="L39" s="237" t="n"/>
      <c r="M39" s="7" t="n"/>
      <c r="N39" s="1" t="inlineStr">
        <is>
          <t xml:space="preserve"> DIESEL </t>
        </is>
      </c>
      <c r="P39" s="9" t="n"/>
      <c r="Q39" s="199" t="n"/>
      <c r="R39" s="199" t="n"/>
      <c r="S39" s="199" t="n"/>
      <c r="T39" s="199" t="n"/>
      <c r="U39" s="199" t="n"/>
    </row>
    <row r="40">
      <c r="B40" s="29" t="n"/>
      <c r="C40" s="30" t="n"/>
      <c r="D40" s="30" t="n"/>
      <c r="E40" s="30" t="n"/>
      <c r="F40" s="30" t="n"/>
      <c r="G40" s="81" t="inlineStr">
        <is>
          <t xml:space="preserve">Signed By    </t>
        </is>
      </c>
      <c r="H40" s="181" t="n"/>
      <c r="I40" s="7" t="n"/>
      <c r="J40" s="30" t="n"/>
      <c r="K40" s="9" t="n"/>
      <c r="L40" s="31" t="n"/>
      <c r="M40" s="7" t="n"/>
      <c r="N40" s="1" t="inlineStr">
        <is>
          <t>GASOLIN</t>
        </is>
      </c>
      <c r="O40" s="9" t="n"/>
      <c r="P40" s="9" t="n"/>
      <c r="Q40" s="199" t="n"/>
      <c r="R40" s="199" t="n"/>
      <c r="S40" s="199" t="n"/>
      <c r="T40" s="199" t="n"/>
      <c r="U40" s="199" t="n"/>
    </row>
    <row r="41">
      <c r="B41" s="32" t="n"/>
      <c r="L41" s="33" t="n"/>
      <c r="N41" s="1" t="inlineStr">
        <is>
          <t>LPG</t>
        </is>
      </c>
      <c r="S41" s="199" t="n"/>
      <c r="U41" s="199" t="n"/>
    </row>
    <row r="42">
      <c r="B42" s="32" t="n"/>
      <c r="L42" s="33" t="n"/>
    </row>
    <row r="43">
      <c r="B43" s="32" t="n"/>
      <c r="L43" s="33" t="n"/>
    </row>
    <row r="44">
      <c r="B44" s="32" t="n"/>
      <c r="L44" s="33" t="n"/>
    </row>
    <row r="45">
      <c r="B45" s="32" t="n"/>
      <c r="L45" s="33" t="n"/>
    </row>
    <row r="46" ht="9.949999999999999" customHeight="1" s="176">
      <c r="B46" s="34" t="n"/>
      <c r="C46" s="35" t="n"/>
      <c r="D46" s="35" t="n"/>
      <c r="E46" s="35" t="n"/>
      <c r="F46" s="35" t="n"/>
      <c r="G46" s="35" t="n"/>
      <c r="H46" s="35" t="n"/>
      <c r="I46" s="35" t="n"/>
      <c r="J46" s="35" t="n"/>
      <c r="K46" s="35" t="n"/>
      <c r="L46" s="36" t="n"/>
    </row>
  </sheetData>
  <mergeCells count="87">
    <mergeCell ref="C23:L23"/>
    <mergeCell ref="N11:O11"/>
    <mergeCell ref="P20:Q20"/>
    <mergeCell ref="D36:E36"/>
    <mergeCell ref="J11:L11"/>
    <mergeCell ref="P22:Q22"/>
    <mergeCell ref="J25:L25"/>
    <mergeCell ref="N3:O3"/>
    <mergeCell ref="G5:L5"/>
    <mergeCell ref="N12:O12"/>
    <mergeCell ref="B2:F2"/>
    <mergeCell ref="P6:Q6"/>
    <mergeCell ref="N5:O5"/>
    <mergeCell ref="B1:L1"/>
    <mergeCell ref="H37:H38"/>
    <mergeCell ref="G3:I4"/>
    <mergeCell ref="P24:Q24"/>
    <mergeCell ref="C28:D28"/>
    <mergeCell ref="G8:L8"/>
    <mergeCell ref="B13:F14"/>
    <mergeCell ref="P26:Q26"/>
    <mergeCell ref="N7:O7"/>
    <mergeCell ref="G10:L10"/>
    <mergeCell ref="G15:H16"/>
    <mergeCell ref="P10:Q10"/>
    <mergeCell ref="B17:D17"/>
    <mergeCell ref="P25:Q25"/>
    <mergeCell ref="C32:L32"/>
    <mergeCell ref="G40:H40"/>
    <mergeCell ref="P9:Q9"/>
    <mergeCell ref="N2:O2"/>
    <mergeCell ref="P2:Q2"/>
    <mergeCell ref="P11:Q11"/>
    <mergeCell ref="B8:F8"/>
    <mergeCell ref="C26:L26"/>
    <mergeCell ref="B9:F11"/>
    <mergeCell ref="C35:L35"/>
    <mergeCell ref="D39:E39"/>
    <mergeCell ref="G17:H18"/>
    <mergeCell ref="G6:L7"/>
    <mergeCell ref="F39:G39"/>
    <mergeCell ref="E16:F16"/>
    <mergeCell ref="J28:L28"/>
    <mergeCell ref="N6:O6"/>
    <mergeCell ref="G12:L14"/>
    <mergeCell ref="E18:F18"/>
    <mergeCell ref="N4:O4"/>
    <mergeCell ref="P4:Q4"/>
    <mergeCell ref="C34:D34"/>
    <mergeCell ref="C20:D20"/>
    <mergeCell ref="N18:O18"/>
    <mergeCell ref="F36:G36"/>
    <mergeCell ref="C22:D22"/>
    <mergeCell ref="C31:D31"/>
    <mergeCell ref="N8:O8"/>
    <mergeCell ref="E15:F15"/>
    <mergeCell ref="G9:L9"/>
    <mergeCell ref="N14:R16"/>
    <mergeCell ref="N10:O10"/>
    <mergeCell ref="P19:Q19"/>
    <mergeCell ref="N9:O9"/>
    <mergeCell ref="P3:Q3"/>
    <mergeCell ref="P12:Q12"/>
    <mergeCell ref="P5:Q5"/>
    <mergeCell ref="J34:L34"/>
    <mergeCell ref="J3:L4"/>
    <mergeCell ref="E17:F17"/>
    <mergeCell ref="D37:E38"/>
    <mergeCell ref="B12:F12"/>
    <mergeCell ref="P21:Q21"/>
    <mergeCell ref="B3:F7"/>
    <mergeCell ref="C25:D25"/>
    <mergeCell ref="J22:L22"/>
    <mergeCell ref="P8:Q8"/>
    <mergeCell ref="J31:L31"/>
    <mergeCell ref="I17:L18"/>
    <mergeCell ref="B15:D15"/>
    <mergeCell ref="P23:Q23"/>
    <mergeCell ref="F38:G38"/>
    <mergeCell ref="P7:Q7"/>
    <mergeCell ref="C29:L29"/>
    <mergeCell ref="B16:D16"/>
    <mergeCell ref="G11:I11"/>
    <mergeCell ref="F37:G37"/>
    <mergeCell ref="G2:L2"/>
    <mergeCell ref="B18:D18"/>
    <mergeCell ref="I15:L16"/>
  </mergeCells>
  <dataValidations count="5">
    <dataValidation sqref="D37:E38" showDropDown="0" showInputMessage="1" showErrorMessage="1" allowBlank="1" type="list">
      <formula1>"FOB,CFR"</formula1>
    </dataValidation>
    <dataValidation sqref="B16:D16" showDropDown="0" showInputMessage="1" showErrorMessage="1" allowBlank="1" type="list">
      <formula1>$S$2:$S$5</formula1>
    </dataValidation>
    <dataValidation sqref="E22 E25 E28 E31 E34" showDropDown="0" showInputMessage="1" showErrorMessage="1" allowBlank="1" type="list">
      <formula1>$N$39:$N$41</formula1>
    </dataValidation>
    <dataValidation sqref="I15:L16" showDropDown="0" showInputMessage="1" showErrorMessage="1" allowBlank="1" type="list">
      <formula1>$S$19:$S$27</formula1>
    </dataValidation>
    <dataValidation sqref="E16:F16" showDropDown="0" showInputMessage="1" showErrorMessage="1" allowBlank="1" type="list">
      <formula1>$T$2:$T$13</formula1>
    </dataValidation>
  </dataValidations>
  <printOptions horizontalCentered="1" verticalCentered="1"/>
  <pageMargins left="0.1968503937007874" right="0.1968503937007874" top="0.5905511811023623" bottom="0.1968503937007874" header="0.1968503937007874" footer="0"/>
  <pageSetup orientation="portrait" paperSize="9" scale="71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Cool</dc:creator>
  <dcterms:created xmlns:dcterms="http://purl.org/dc/terms/" xmlns:xsi="http://www.w3.org/2001/XMLSchema-instance" xsi:type="dcterms:W3CDTF">2023-01-19T00:19:52Z</dcterms:created>
  <dcterms:modified xmlns:dcterms="http://purl.org/dc/terms/" xmlns:xsi="http://www.w3.org/2001/XMLSchema-instance" xsi:type="dcterms:W3CDTF">2026-05-24T05:10:10Z</dcterms:modified>
  <cp:lastModifiedBy>choi young suk</cp:lastModifiedBy>
  <cp:lastPrinted>2024-06-18T02:08:28Z</cp:lastPrinted>
</cp:coreProperties>
</file>