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Titles" localSheetId="0">'INVOICE'!$20:$20</definedName>
    <definedName name="_xlnm.Print_Area" localSheetId="0">'INVOICE'!$A$1:$L$121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<sst xmlns="http://schemas.openxmlformats.org/spreadsheetml/2006/main" uniqueCount="94">
  <si>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r>
      <t xml:space="preserve">COMMERCIAL INVOICE &amp; PACKING LIST</t>
    </r>
  </si>
  <si>
    <r>
      <t xml:space="preserve">1) Shipper / Exporter</t>
    </r>
  </si>
  <si>
    <r>
      <t xml:space="preserve">8) No. &amp; date of invoice</t>
    </r>
  </si>
  <si>
    <r>
      <t xml:space="preserve">INCHOEN, KOREA</t>
    </r>
  </si>
  <si>
    <r>
      <t xml:space="preserve">AZERBAIJAN</t>
    </r>
  </si>
  <si>
    <t>SSANCAR LTD.,
163 Sangidaehak-ro, Siheung-si,
Gyeonggi-do, Republic of Korea
TEL:82-505-355-9977 
FAX:82-505-366-9977
EMAIL : ssancar9977@gmail.com</t>
  </si>
  <si>
    <r>
      <t xml:space="preserve">MASAN, KOREA</t>
    </r>
  </si>
  <si>
    <r>
      <t xml:space="preserve">DURRESS,  ALBANIA</t>
    </r>
  </si>
  <si>
    <r>
      <t xml:space="preserve">PYEONGTAEK, KOREA</t>
    </r>
  </si>
  <si>
    <r>
      <t xml:space="preserve">KYRGYZSTAN</t>
    </r>
  </si>
  <si>
    <r>
      <t xml:space="preserve">9) No. &amp; date of L/C</t>
    </r>
  </si>
  <si>
    <r>
      <t xml:space="preserve">BUSAN, KOREA</t>
    </r>
  </si>
  <si>
    <r>
      <t xml:space="preserve">VLADIVOSTOK,  RUSSIA</t>
    </r>
  </si>
  <si>
    <r>
      <t xml:space="preserve">TTR BASE</t>
    </r>
  </si>
  <si>
    <r>
      <t xml:space="preserve"> </t>
    </r>
  </si>
  <si>
    <r>
      <t xml:space="preserve">KAZAKHSTAN</t>
    </r>
  </si>
  <si>
    <r>
      <t xml:space="preserve">BURGAS,  BULGARIA</t>
    </r>
  </si>
  <si>
    <r>
      <t xml:space="preserve">2) For account &amp; risk of Messers.</t>
    </r>
  </si>
  <si>
    <r>
      <t xml:space="preserve">10) L/C issuing bank</t>
    </r>
  </si>
  <si>
    <r>
      <t xml:space="preserve">KLAIPEDA</t>
    </r>
  </si>
  <si>
    <r>
      <t xml:space="preserve">IMP. EXP. HANNA LTDA
RUT 77177119-K
MZ. F SITIO 062-A,
IQUIQUE, CHILE
TEL : 56 9 5462 5794</t>
    </r>
  </si>
  <si>
    <r>
      <t xml:space="preserve">NORRKOPING</t>
    </r>
  </si>
  <si>
    <r>
      <t xml:space="preserve">*Remark</t>
    </r>
  </si>
  <si>
    <r>
      <t xml:space="preserve">U.A.E (DUBAI)</t>
    </r>
  </si>
  <si>
    <r>
      <t xml:space="preserve">USED KOREAN CARS</t>
    </r>
  </si>
  <si>
    <r>
      <t xml:space="preserve">Q'TY : UNIT</t>
    </r>
  </si>
  <si>
    <r>
      <t xml:space="preserve">FRANCE</t>
    </r>
  </si>
  <si>
    <r>
      <t xml:space="preserve">3) Notify party</t>
    </r>
  </si>
  <si>
    <r>
      <t xml:space="preserve">CONTAINER</t>
    </r>
  </si>
  <si>
    <r>
      <t xml:space="preserve">CHILE</t>
    </r>
  </si>
  <si>
    <r>
      <t xml:space="preserve">IQUIQUE, CHILE</t>
    </r>
  </si>
  <si>
    <r>
      <t xml:space="preserve">SAME AS ABOVE</t>
    </r>
  </si>
  <si>
    <r>
      <t xml:space="preserve">SSANCAR MADAGASCAR
TEL:033-152-9977 / 034-142-9977
101 ANTANANARIVO MADAGASCAR
LOT SIBD 35 TSARALALANA ANALAMANGA</t>
    </r>
  </si>
  <si>
    <r>
      <t xml:space="preserve">4) Port of loading</t>
    </r>
  </si>
  <si>
    <r>
      <t xml:space="preserve">5) Final Destination</t>
    </r>
  </si>
  <si>
    <r>
      <t xml:space="preserve">반입지 : </t>
    </r>
  </si>
  <si>
    <r>
      <t xml:space="preserve">PNIT (030-77-013)</t>
    </r>
  </si>
  <si>
    <r>
      <t xml:space="preserve">6) Vessel name</t>
    </r>
  </si>
  <si>
    <r>
      <t xml:space="preserve">7) Sailing on or about</t>
    </r>
  </si>
  <si>
    <r>
      <t xml:space="preserve">CONTAINER NO :</t>
    </r>
  </si>
  <si>
    <r>
      <t xml:space="preserve">TRHU6652495 / KRAT55828</t>
    </r>
  </si>
  <si>
    <r>
      <t xml:space="preserve">11) MARKS AND NUMBERS OF PKGS</t>
    </r>
  </si>
  <si>
    <r>
      <t xml:space="preserve">12) Description of Goods</t>
    </r>
  </si>
  <si>
    <r>
      <t xml:space="preserve">13) Quantity</t>
    </r>
  </si>
  <si>
    <r>
      <t xml:space="preserve">14) Unit price</t>
    </r>
  </si>
  <si>
    <r>
      <t xml:space="preserve">15) Amount</t>
    </r>
  </si>
  <si>
    <r>
      <t xml:space="preserve">16) WEIGHT</t>
    </r>
  </si>
  <si>
    <r>
      <t xml:space="preserve">17) CBM</t>
    </r>
  </si>
  <si>
    <r>
      <t xml:space="preserve">18) DISPLACE-
MENT(cc)</t>
    </r>
  </si>
  <si>
    <r>
      <t xml:space="preserve">인천구항</t>
    </r>
  </si>
  <si>
    <r>
      <t xml:space="preserve">인천</t>
    </r>
  </si>
  <si>
    <r>
      <t xml:space="preserve">ICT ( 020-77-002 )</t>
    </r>
  </si>
  <si>
    <r>
      <t xml:space="preserve">NO.</t>
    </r>
  </si>
  <si>
    <r>
      <t xml:space="preserve">Commodity</t>
    </r>
  </si>
  <si>
    <r>
      <t xml:space="preserve">Year</t>
    </r>
  </si>
  <si>
    <r>
      <t xml:space="preserve">Chassis No.</t>
    </r>
  </si>
  <si>
    <r>
      <t xml:space="preserve">Q'TY</t>
    </r>
  </si>
  <si>
    <r>
      <t xml:space="preserve">Unit Price</t>
    </r>
  </si>
  <si>
    <r>
      <t xml:space="preserve">AMOUNT</t>
    </r>
  </si>
  <si>
    <r>
      <t xml:space="preserve">Weight
(KG)</t>
    </r>
  </si>
  <si>
    <r>
      <t xml:space="preserve">CBM</t>
    </r>
  </si>
  <si>
    <r>
      <t xml:space="preserve">Shipping</t>
    </r>
  </si>
  <si>
    <r>
      <t xml:space="preserve">선광신항</t>
    </r>
  </si>
  <si>
    <r>
      <t xml:space="preserve"> SNCT  ( 020-12-014 )</t>
    </r>
  </si>
  <si>
    <r>
      <t xml:space="preserve">SNCT  ( 020-12-014 )</t>
    </r>
  </si>
  <si>
    <r>
      <t xml:space="preserve">HYUNDAI</t>
    </r>
  </si>
  <si>
    <r>
      <t xml:space="preserve">ACCENT</t>
    </r>
  </si>
  <si>
    <r>
      <t xml:space="preserve">KMHCT51UGGU281238</t>
    </r>
  </si>
  <si>
    <r>
      <t xml:space="preserve">한진</t>
    </r>
  </si>
  <si>
    <r>
      <t xml:space="preserve">HJIT  ( 020-12-016 )</t>
    </r>
  </si>
  <si>
    <r>
      <t xml:space="preserve">TYPE OF FUEL :</t>
    </r>
  </si>
  <si>
    <r>
      <t xml:space="preserve"> DIESEL </t>
    </r>
  </si>
  <si>
    <r>
      <t xml:space="preserve">/    PISTON  DISPLACEMENT : </t>
    </r>
  </si>
  <si>
    <r>
      <t xml:space="preserve">평택</t>
    </r>
  </si>
  <si>
    <r>
      <t xml:space="preserve">PCTC  ( 016-12-033 )</t>
    </r>
  </si>
  <si>
    <r>
      <t xml:space="preserve">동방아이포트</t>
    </r>
  </si>
  <si>
    <r>
      <t xml:space="preserve">PNCT  ( 016-12-002 )</t>
    </r>
  </si>
  <si>
    <r>
      <t xml:space="preserve">GRAND STAREX</t>
    </r>
  </si>
  <si>
    <r>
      <t xml:space="preserve">KMJWA37KBHU886217</t>
    </r>
  </si>
  <si>
    <r>
      <t xml:space="preserve">부산국제신항</t>
    </r>
  </si>
  <si>
    <r>
      <t xml:space="preserve">부산</t>
    </r>
  </si>
  <si>
    <r>
      <t xml:space="preserve">부산 신항만</t>
    </r>
  </si>
  <si>
    <r>
      <t xml:space="preserve">HPNT (030-77-011)</t>
    </r>
  </si>
  <si>
    <r>
      <t xml:space="preserve">부산신항터미널</t>
    </r>
  </si>
  <si>
    <r>
      <t xml:space="preserve">BNCT (030-77-026)</t>
    </r>
  </si>
  <si>
    <r>
      <t xml:space="preserve">KMJWA37KAFU680072</t>
    </r>
  </si>
  <si>
    <r>
      <t xml:space="preserve">KMHCS41UBEU687864</t>
    </r>
  </si>
  <si>
    <r>
      <t xml:space="preserve"> SUB TOTAL :</t>
    </r>
  </si>
  <si>
    <r>
      <t xml:space="preserve">CFR</t>
    </r>
  </si>
  <si>
    <r>
      <t xml:space="preserve">OCEAN FREIGHT</t>
    </r>
  </si>
  <si>
    <r>
      <t xml:space="preserve"> GRAND TOTAL :</t>
    </r>
  </si>
  <si>
    <r>
      <t xml:space="preserve">Signed By    </t>
    </r>
  </si>
  <si>
    <r>
      <t xml:space="preserve">GASOLIN</t>
    </r>
  </si>
  <si>
    <r>
      <t xml:space="preserve">LPG</t>
    </r>
  </si>
</sst>
</file>

<file path=xl/styles.xml><?xml version="1.0" encoding="utf-8"?>
<styleSheet xmlns="http://schemas.openxmlformats.org/spreadsheetml/2006/main" xml:space="preserve">
  <numFmts count="12">
    <numFmt numFmtId="164" formatCode="#,##0_ ;[Red]\-#,##0\ "/>
    <numFmt numFmtId="165" formatCode="\$#,##0_);[Red]\(\$#,##0\)"/>
    <numFmt numFmtId="166" formatCode="_-* #,##0.000_-;\-* #,##0.000_-;_-* &quot;-&quot;_-;_-@_-"/>
    <numFmt numFmtId="167" formatCode="_-* #,##0_-;\-* #,##0.000_-;_-* &quot;-&quot;_-;_-@_-"/>
    <numFmt numFmtId="168" formatCode="[$-409]mmm&quot; . &quot;dd&quot; . &quot;yy;@"/>
    <numFmt numFmtId="169" formatCode="#,##0&quot; CAR(S)&quot;"/>
    <numFmt numFmtId="170" formatCode="\$#,##0_);\(\$#,##0\)"/>
    <numFmt numFmtId="171" formatCode="&quot;U$&quot;#,##0.\-"/>
    <numFmt numFmtId="172" formatCode="_-* #,##0_-;\-* #,##0_-;_-* &quot;-&quot;_-;_-@_-"/>
    <numFmt numFmtId="173" formatCode="\$#,##0;[Red]\-\$#,##0"/>
    <numFmt numFmtId="174" formatCode="#,##0_);[Red]\(#,##0\)"/>
    <numFmt numFmtId="175" formatCode="####&quot;cc&quot;"/>
  </numFmts>
  <fonts count="35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9"/>
      <color rgb="FF000000"/>
      <name val="나눔고딕"/>
    </font>
    <font>
      <b val="1"/>
      <i val="0"/>
      <strike val="0"/>
      <u val="none"/>
      <sz val="9"/>
      <color rgb="FF000000"/>
      <name val="나눔고딕"/>
    </font>
    <font>
      <b val="1"/>
      <i val="0"/>
      <strike val="0"/>
      <u val="single"/>
      <sz val="10"/>
      <color rgb="FFFF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none"/>
      <sz val="9"/>
      <color rgb="FF0070C0"/>
      <name val="Arial Narrow"/>
    </font>
    <font>
      <b val="0"/>
      <i val="0"/>
      <strike val="0"/>
      <u val="none"/>
      <sz val="8"/>
      <color rgb="FF0070C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FF0000"/>
      <name val="Arial Narrow"/>
    </font>
    <font>
      <b val="0"/>
      <i val="0"/>
      <strike val="0"/>
      <u val="none"/>
      <sz val="11"/>
      <color rgb="FF808080"/>
      <name val="Arial Narrow"/>
    </font>
    <font>
      <b val="1"/>
      <i val="0"/>
      <strike val="0"/>
      <u val="none"/>
      <sz val="10"/>
      <color rgb="FF808080"/>
      <name val="Arial Narrow"/>
    </font>
    <font>
      <b val="0"/>
      <i val="0"/>
      <strike val="0"/>
      <u val="none"/>
      <sz val="10"/>
      <color rgb="FF808080"/>
      <name val="Arial Narrow"/>
    </font>
    <font>
      <b val="0"/>
      <i val="0"/>
      <strike val="0"/>
      <u val="none"/>
      <sz val="11"/>
      <color rgb="FF000000"/>
      <name val="Arial Unicode MS"/>
    </font>
    <font>
      <b val="1"/>
      <i val="0"/>
      <strike val="0"/>
      <u val="none"/>
      <sz val="11"/>
      <color rgb="FF000000"/>
      <name val="맑은 고딕"/>
      <scheme val="minor"/>
    </font>
    <font>
      <b val="1"/>
      <i val="0"/>
      <strike val="0"/>
      <u val="none"/>
      <sz val="11"/>
      <color rgb="00000000"/>
      <name val="맑은 고딕"/>
      <scheme val="minor"/>
    </font>
    <font>
      <b val="1"/>
      <i val="0"/>
      <strike val="0"/>
      <u val="none"/>
      <sz val="10"/>
      <color rgb="FF0070C0"/>
      <name val="맑은 고딕"/>
      <scheme val="minor"/>
    </font>
    <font>
      <b val="1"/>
      <i val="0"/>
      <strike val="0"/>
      <u val="none"/>
      <sz val="14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6"/>
      <color rgb="FFFF0000"/>
      <name val="Arial Narrow"/>
    </font>
    <font>
      <b val="1"/>
      <i val="0"/>
      <strike val="0"/>
      <u val="single"/>
      <sz val="11"/>
      <color rgb="FF000000"/>
      <name val="맑은 고딕"/>
    </font>
    <font>
      <b val="1"/>
      <i val="0"/>
      <strike val="0"/>
      <u val="none"/>
      <sz val="12"/>
      <color rgb="FFFF0000"/>
      <name val="Arial Unicode MS"/>
    </font>
    <font>
      <b val="1"/>
      <i val="0"/>
      <strike val="0"/>
      <u val="none"/>
      <sz val="11"/>
      <color rgb="FFFF0000"/>
      <name val="Arial Narrow"/>
    </font>
    <font>
      <b val="1"/>
      <i val="0"/>
      <strike val="0"/>
      <u val="none"/>
      <sz val="12"/>
      <color rgb="FFFF0000"/>
      <name val="나눔고딕"/>
    </font>
    <font>
      <b val="1"/>
      <i val="1"/>
      <strike val="0"/>
      <u val="none"/>
      <sz val="18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5"/>
      <color rgb="FF000000"/>
      <name val="맑은 고딕"/>
    </font>
    <font>
      <b val="1"/>
      <i val="0"/>
      <strike val="0"/>
      <u val="single"/>
      <sz val="11"/>
      <color rgb="FF000000"/>
      <name val="맑은 고딕"/>
      <scheme val="minor"/>
    </font>
    <font>
      <b val="1"/>
      <i val="0"/>
      <strike val="0"/>
      <u val="single"/>
      <sz val="16"/>
      <color rgb="FF000000"/>
      <name val="맑은 고딕"/>
      <scheme val="major"/>
    </font>
    <font>
      <b val="1"/>
      <i val="0"/>
      <strike val="0"/>
      <u val="none"/>
      <sz val="11"/>
      <color rgb="FF000000"/>
      <name val="맑은 고딕"/>
      <scheme val="major"/>
    </font>
    <font>
      <b val="0"/>
      <i val="0"/>
      <strike val="0"/>
      <u val="none"/>
      <sz val="10"/>
      <color rgb="FF000000"/>
      <name val="맑은 고딕"/>
      <scheme val="minor"/>
    </font>
    <font>
      <b val="1"/>
      <i val="0"/>
      <strike val="0"/>
      <u val="none"/>
      <sz val="18"/>
      <color rgb="FFFF0000"/>
      <name val="HY견고딕"/>
    </font>
    <font>
      <b val="1"/>
      <i val="0"/>
      <strike val="0"/>
      <u val="none"/>
      <sz val="15"/>
      <color rgb="FFFF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6" numFmtId="0" fillId="0" borderId="4" applyFont="1" applyNumberFormat="0" applyFill="0" applyBorder="1" applyAlignment="1">
      <alignment vertical="center" textRotation="0" wrapText="false" shrinkToFit="false"/>
    </xf>
    <xf xfId="0" fontId="6" numFmtId="0" fillId="0" borderId="6" applyFont="1" applyNumberFormat="0" applyFill="0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>
      <alignment vertical="center" textRotation="0" wrapText="false" shrinkToFit="false"/>
    </xf>
    <xf xfId="0" fontId="6" numFmtId="0" fillId="0" borderId="6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15" numFmtId="0" fillId="0" borderId="3" applyFont="1" applyNumberFormat="0" applyFill="0" applyBorder="1" applyAlignment="1">
      <alignment vertical="center" textRotation="0" wrapText="false" shrinkToFit="true"/>
    </xf>
    <xf xfId="0" fontId="15" numFmtId="0" fillId="0" borderId="3" applyFont="1" applyNumberFormat="0" applyFill="0" applyBorder="1" applyAlignment="1">
      <alignment horizontal="center" vertical="center" textRotation="0" wrapText="false" shrinkToFit="true"/>
    </xf>
    <xf xfId="0" fontId="6" numFmtId="0" fillId="0" borderId="9" applyFont="1" applyNumberFormat="0" applyFill="0" applyBorder="1" applyAlignment="1">
      <alignment vertical="center" textRotation="0" wrapText="false" shrinkToFit="false"/>
    </xf>
    <xf xfId="0" fontId="16" numFmtId="0" fillId="0" borderId="5" applyFont="1" applyNumberFormat="0" applyFill="0" applyBorder="1" applyAlignment="1">
      <alignment horizontal="center" vertical="center" textRotation="0" wrapText="false" shrinkToFit="true"/>
    </xf>
    <xf xfId="0" fontId="17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7" numFmtId="165" fillId="0" borderId="3" applyFont="1" applyNumberFormat="1" applyFill="0" applyBorder="1" applyAlignment="1">
      <alignment vertical="center" textRotation="0" wrapText="false" shrinkToFit="false"/>
    </xf>
    <xf xfId="0" fontId="6" numFmtId="165" fillId="0" borderId="10" applyFont="1" applyNumberFormat="1" applyFill="0" applyBorder="1" applyAlignment="1">
      <alignment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false" shrinkToFit="false"/>
    </xf>
    <xf xfId="0" fontId="6" numFmtId="165" fillId="0" borderId="0" applyFont="1" applyNumberFormat="1" applyFill="0" applyBorder="0" applyAlignment="1">
      <alignment vertical="center" textRotation="0" wrapText="false" shrinkToFit="false"/>
    </xf>
    <xf xfId="0" fontId="6" numFmtId="165" fillId="0" borderId="9" applyFont="1" applyNumberFormat="1" applyFill="0" applyBorder="1" applyAlignment="1">
      <alignment vertical="center" textRotation="0" wrapText="false" shrinkToFit="false"/>
    </xf>
    <xf xfId="0" fontId="6" numFmtId="166" fillId="0" borderId="9" applyFont="1" applyNumberFormat="1" applyFill="0" applyBorder="1" applyAlignment="1">
      <alignment vertical="center" textRotation="0" wrapText="false" shrinkToFit="false"/>
    </xf>
    <xf xfId="0" fontId="6" numFmtId="167" fillId="0" borderId="9" applyFont="1" applyNumberFormat="1" applyFill="0" applyBorder="1" applyAlignment="1">
      <alignment vertical="center" textRotation="0" wrapText="false" shrinkToFit="false"/>
    </xf>
    <xf xfId="0" fontId="7" numFmtId="165" fillId="4" borderId="3" applyFont="1" applyNumberFormat="1" applyFill="1" applyBorder="1" applyAlignment="1">
      <alignment vertical="center" textRotation="0" wrapText="false" shrinkToFit="false"/>
    </xf>
    <xf xfId="0" fontId="17" numFmtId="0" fillId="4" borderId="3" applyFont="1" applyNumberFormat="0" applyFill="1" applyBorder="1" applyAlignment="1">
      <alignment horizontal="center" vertical="center" textRotation="0" wrapText="false" shrinkToFit="false"/>
    </xf>
    <xf xfId="0" fontId="16" numFmtId="0" fillId="4" borderId="5" applyFont="1" applyNumberFormat="0" applyFill="1" applyBorder="1" applyAlignment="1">
      <alignment horizontal="center" vertical="center" textRotation="0" wrapText="false" shrinkToFit="true"/>
    </xf>
    <xf xfId="0" fontId="7" numFmtId="0" fillId="4" borderId="3" applyFont="1" applyNumberFormat="0" applyFill="1" applyBorder="1" applyAlignment="1">
      <alignment horizontal="center" vertical="center" textRotation="0" wrapText="false" shrinkToFit="false"/>
    </xf>
    <xf xfId="0" fontId="18" numFmtId="0" fillId="4" borderId="1" applyFont="1" applyNumberFormat="0" applyFill="1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center" textRotation="0" wrapText="false" shrinkToFit="false"/>
    </xf>
    <xf xfId="0" fontId="8" numFmtId="0" fillId="0" borderId="13" applyFont="1" applyNumberFormat="0" applyFill="0" applyBorder="1" applyAlignment="1">
      <alignment horizontal="left" vertical="center" textRotation="0" wrapText="false" shrinkToFit="false"/>
    </xf>
    <xf xfId="0" fontId="19" numFmtId="49" fillId="0" borderId="9" applyFont="1" applyNumberFormat="1" applyFill="0" applyBorder="1" applyAlignment="1">
      <alignment horizontal="center" vertical="center" textRotation="0" wrapText="false" shrinkToFit="false"/>
    </xf>
    <xf xfId="0" fontId="20" numFmtId="168" fillId="0" borderId="10" applyFont="1" applyNumberFormat="1" applyFill="0" applyBorder="1" applyAlignment="1">
      <alignment horizontal="center" vertical="center" textRotation="0" wrapText="false" shrinkToFit="false"/>
    </xf>
    <xf xfId="0" fontId="21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1">
      <alignment horizontal="left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center" textRotation="0" wrapText="false" shrinkToFit="false"/>
    </xf>
    <xf xfId="0" fontId="22" numFmtId="49" fillId="0" borderId="0" applyFont="1" applyNumberFormat="1" applyFill="0" applyBorder="0" applyAlignment="1">
      <alignment horizontal="center" vertical="center" textRotation="0" wrapText="true" shrinkToFit="false"/>
    </xf>
    <xf xfId="0" fontId="23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false" shrinkToFit="false"/>
    </xf>
    <xf xfId="0" fontId="6" numFmtId="49" fillId="4" borderId="4" applyFont="1" applyNumberFormat="1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1" applyBorder="1" applyAlignment="1">
      <alignment horizontal="center" vertical="center" textRotation="0" wrapText="false" shrinkToFit="false"/>
    </xf>
    <xf xfId="0" fontId="24" numFmtId="0" fillId="0" borderId="4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1">
      <alignment horizontal="left" vertical="center" textRotation="0" wrapText="false" shrinkToFit="false"/>
    </xf>
    <xf xfId="0" fontId="21" numFmtId="0" fillId="4" borderId="10" applyFont="1" applyNumberFormat="0" applyFill="1" applyBorder="1" applyAlignment="1">
      <alignment horizontal="center" vertical="center" textRotation="0" wrapText="true" shrinkToFit="false"/>
    </xf>
    <xf xfId="0" fontId="18" numFmtId="0" fillId="3" borderId="1" applyFont="1" applyNumberFormat="0" applyFill="1" applyBorder="1" applyAlignment="1">
      <alignment vertical="center" textRotation="0" wrapText="true" shrinkToFit="false"/>
    </xf>
    <xf xfId="0" fontId="18" numFmtId="0" fillId="3" borderId="14" applyFont="1" applyNumberFormat="0" applyFill="1" applyBorder="1" applyAlignment="1">
      <alignment vertical="center" textRotation="0" wrapText="tru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25" numFmtId="0" fillId="0" borderId="4" applyFont="1" applyNumberFormat="0" applyFill="0" applyBorder="1" applyAlignment="1">
      <alignment horizontal="center" vertical="center" textRotation="0" wrapText="true" shrinkToFit="false"/>
    </xf>
    <xf xfId="0" fontId="18" numFmtId="0" fillId="3" borderId="5" applyFont="1" applyNumberFormat="0" applyFill="1" applyBorder="1" applyAlignment="1">
      <alignment horizontal="right" vertical="center" textRotation="0" wrapText="true" shrinkToFit="false"/>
    </xf>
    <xf xfId="0" fontId="18" numFmtId="0" fillId="3" borderId="1" applyFont="1" applyNumberFormat="0" applyFill="1" applyBorder="1" applyAlignment="1">
      <alignment horizontal="right" vertical="center" textRotation="0" wrapText="true" shrinkToFit="false"/>
    </xf>
    <xf xfId="0" fontId="6" numFmtId="0" fillId="0" borderId="2" applyFont="1" applyNumberFormat="0" applyFill="0" applyBorder="1" applyAlignment="1">
      <alignment horizontal="right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right" vertical="center" textRotation="0" wrapText="false" shrinkToFit="false"/>
    </xf>
    <xf xfId="0" fontId="6" numFmtId="0" fillId="0" borderId="12" applyFont="1" applyNumberFormat="0" applyFill="0" applyBorder="1" applyAlignment="1">
      <alignment horizontal="right" vertical="center" textRotation="0" wrapText="false" shrinkToFit="false"/>
    </xf>
    <xf xfId="0" fontId="6" numFmtId="0" fillId="0" borderId="1" applyFont="1" applyNumberFormat="0" applyFill="0" applyBorder="1" applyAlignment="1">
      <alignment horizontal="right" vertical="center" textRotation="0" wrapText="false" shrinkToFit="false"/>
    </xf>
    <xf xfId="0" fontId="15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26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0" numFmtId="0" fillId="0" borderId="14" applyFont="0" applyNumberFormat="0" applyFill="0" applyBorder="1" applyAlignment="1">
      <alignment vertical="bottom" textRotation="0" wrapText="false" shrinkToFit="false"/>
    </xf>
    <xf xfId="0" fontId="8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1" applyFont="0" applyNumberFormat="0" applyFill="0" applyBorder="1" applyAlignment="1">
      <alignment vertical="bottom" textRotation="0" wrapText="false" shrinkToFit="false"/>
    </xf>
    <xf xfId="0" fontId="0" numFmtId="0" fillId="0" borderId="13" applyFont="0" applyNumberFormat="0" applyFill="0" applyBorder="1" applyAlignment="1">
      <alignment vertical="bottom" textRotation="0" wrapText="false" shrinkToFit="false"/>
    </xf>
    <xf xfId="0" fontId="6" numFmtId="49" fillId="0" borderId="3" applyFont="1" applyNumberFormat="1" applyFill="0" applyBorder="1" applyAlignment="1">
      <alignment horizontal="center" vertical="center" textRotation="0" wrapText="false" shrinkToFit="false"/>
    </xf>
    <xf xfId="0" fontId="5" numFmtId="49" fillId="0" borderId="17" applyFont="1" applyNumberFormat="1" applyFill="0" applyBorder="1" applyAlignment="1">
      <alignment horizontal="left" vertical="top" textRotation="0" wrapText="true" shrinkToFit="false" indent="1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9" applyFont="0" applyNumberFormat="0" applyFill="0" applyBorder="1" applyAlignment="1">
      <alignment vertical="bottom" textRotation="0" wrapText="false" shrinkToFit="false"/>
    </xf>
    <xf xfId="0" fontId="0" numFmtId="0" fillId="0" borderId="10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27" numFmtId="49" fillId="4" borderId="17" applyFont="1" applyNumberFormat="1" applyFill="1" applyBorder="1" applyAlignment="1">
      <alignment horizontal="left" vertical="center" textRotation="0" wrapText="true" shrinkToFit="false" indent="1"/>
    </xf>
    <xf xfId="0" fontId="28" numFmtId="49" fillId="0" borderId="8" applyFont="1" applyNumberFormat="1" applyFill="0" applyBorder="1" applyAlignment="1">
      <alignment horizontal="center" vertical="center" textRotation="0" wrapText="true" shrinkToFit="false"/>
    </xf>
    <xf xfId="0" fontId="29" numFmtId="49" fillId="0" borderId="8" applyFont="1" applyNumberFormat="1" applyFill="0" applyBorder="1" applyAlignment="1">
      <alignment horizontal="center" vertical="center" textRotation="0" wrapText="true" shrinkToFit="false"/>
    </xf>
    <xf xfId="0" fontId="30" numFmtId="0" fillId="0" borderId="18" applyFont="1" applyNumberFormat="0" applyFill="0" applyBorder="1" applyAlignment="1">
      <alignment horizontal="center" vertical="center" textRotation="0" wrapText="false" shrinkToFit="false"/>
    </xf>
    <xf xfId="0" fontId="4" numFmtId="169" fillId="2" borderId="1" applyFont="1" applyNumberFormat="1" applyFill="1" applyBorder="1" applyAlignment="1">
      <alignment horizontal="center" vertical="center" textRotation="0" wrapText="true" shrinkToFit="false"/>
    </xf>
    <xf xfId="0" fontId="4" numFmtId="170" fillId="2" borderId="1" applyFont="1" applyNumberFormat="1" applyFill="1" applyBorder="1" applyAlignment="1">
      <alignment horizontal="center" vertical="center" textRotation="0" wrapText="false" shrinkToFit="false"/>
    </xf>
    <xf xfId="0" fontId="4" numFmtId="171" fillId="2" borderId="1" applyFont="1" applyNumberFormat="1" applyFill="1" applyBorder="1" applyAlignment="1">
      <alignment horizontal="center" vertical="center" textRotation="0" wrapText="true" shrinkToFit="false"/>
    </xf>
    <xf xfId="0" fontId="4" numFmtId="172" fillId="2" borderId="14" applyFont="1" applyNumberFormat="1" applyFill="1" applyBorder="1" applyAlignment="1">
      <alignment horizontal="center" vertical="center" textRotation="0" wrapText="true" shrinkToFit="false"/>
    </xf>
    <xf xfId="0" fontId="1" numFmtId="172" fillId="0" borderId="0" applyFont="1" applyNumberFormat="1" applyFill="0" applyBorder="0" applyAlignment="1">
      <alignment vertical="center" textRotation="0" wrapText="false" shrinkToFit="false"/>
    </xf>
    <xf xfId="0" fontId="2" numFmtId="172" fillId="0" borderId="0" applyFont="1" applyNumberFormat="1" applyFill="0" applyBorder="0" applyAlignment="1">
      <alignment vertical="center" textRotation="0" wrapText="false" shrinkToFit="false"/>
    </xf>
    <xf xfId="0" fontId="31" numFmtId="172" fillId="4" borderId="5" applyFont="1" applyNumberFormat="1" applyFill="1" applyBorder="1" applyAlignment="1">
      <alignment horizontal="right" vertical="center" textRotation="0" wrapText="false" shrinkToFit="true"/>
    </xf>
    <xf xfId="0" fontId="31" numFmtId="173" fillId="4" borderId="14" applyFont="1" applyNumberFormat="1" applyFill="1" applyBorder="1" applyAlignment="1">
      <alignment horizontal="left" vertical="center" textRotation="0" wrapText="false" shrinkToFit="true"/>
    </xf>
    <xf xfId="0" fontId="7" numFmtId="174" fillId="4" borderId="3" applyFont="1" applyNumberFormat="1" applyFill="1" applyBorder="1" applyAlignment="1">
      <alignment vertical="center" textRotation="0" wrapText="false" shrinkToFit="false"/>
    </xf>
    <xf xfId="0" fontId="7" numFmtId="174" fillId="4" borderId="3" applyFont="1" applyNumberFormat="1" applyFill="1" applyBorder="1" applyAlignment="1">
      <alignment vertical="center" textRotation="0" wrapText="false" shrinkToFit="false"/>
    </xf>
    <xf xfId="0" fontId="7" numFmtId="166" fillId="4" borderId="3" applyFont="1" applyNumberFormat="1" applyFill="1" applyBorder="1" applyAlignment="1">
      <alignment vertical="center" textRotation="0" wrapText="false" shrinkToFit="false"/>
    </xf>
    <xf xfId="0" fontId="7" numFmtId="165" fillId="4" borderId="3" applyFont="1" applyNumberFormat="1" applyFill="1" applyBorder="1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6" numFmtId="172" fillId="0" borderId="3" applyFont="1" applyNumberFormat="1" applyFill="0" applyBorder="1" applyAlignment="1">
      <alignment horizontal="center" vertical="center" textRotation="0" wrapText="false" shrinkToFit="false"/>
    </xf>
    <xf xfId="0" fontId="18" numFmtId="175" fillId="4" borderId="1" applyFont="1" applyNumberFormat="1" applyFill="1" applyBorder="1" applyAlignment="1">
      <alignment horizontal="center" vertical="center" textRotation="0" wrapText="true" shrinkToFit="false"/>
    </xf>
    <xf xfId="0" fontId="6" numFmtId="172" fillId="0" borderId="5" applyFont="1" applyNumberFormat="1" applyFill="0" applyBorder="1" applyAlignment="1">
      <alignment horizontal="center" vertical="center" textRotation="0" wrapText="false" shrinkToFit="false"/>
    </xf>
    <xf xfId="0" fontId="32" numFmtId="0" fillId="3" borderId="3" applyFont="1" applyNumberFormat="0" applyFill="1" applyBorder="1" applyAlignment="1">
      <alignment vertical="center" textRotation="0" wrapText="true" shrinkToFit="false"/>
    </xf>
    <xf xfId="0" fontId="15" numFmtId="172" fillId="0" borderId="3" applyFont="1" applyNumberFormat="1" applyFill="0" applyBorder="1" applyAlignment="1">
      <alignment horizontal="center" vertical="center" textRotation="0" wrapText="false" shrinkToFit="false"/>
    </xf>
    <xf xfId="0" fontId="31" numFmtId="172" fillId="0" borderId="5" applyFont="1" applyNumberFormat="1" applyFill="0" applyBorder="1" applyAlignment="1">
      <alignment horizontal="right" vertical="center" textRotation="0" wrapText="false" shrinkToFit="true"/>
    </xf>
    <xf xfId="0" fontId="31" numFmtId="173" fillId="0" borderId="14" applyFont="1" applyNumberFormat="1" applyFill="0" applyBorder="1" applyAlignment="1">
      <alignment horizontal="left" vertical="center" textRotation="0" wrapText="false" shrinkToFit="true"/>
    </xf>
    <xf xfId="0" fontId="7" numFmtId="174" fillId="0" borderId="3" applyFont="1" applyNumberFormat="1" applyFill="0" applyBorder="1" applyAlignment="1">
      <alignment vertical="center" textRotation="0" wrapText="false" shrinkToFit="false"/>
    </xf>
    <xf xfId="0" fontId="7" numFmtId="174" fillId="0" borderId="3" applyFont="1" applyNumberFormat="1" applyFill="0" applyBorder="1" applyAlignment="1">
      <alignment vertical="center" textRotation="0" wrapText="false" shrinkToFit="false"/>
    </xf>
    <xf xfId="0" fontId="7" numFmtId="166" fillId="0" borderId="3" applyFont="1" applyNumberFormat="1" applyFill="0" applyBorder="1" applyAlignment="1">
      <alignment vertical="center" textRotation="0" wrapText="false" shrinkToFit="false"/>
    </xf>
    <xf xfId="0" fontId="7" numFmtId="165" fillId="0" borderId="3" applyFont="1" applyNumberFormat="1" applyFill="0" applyBorder="1" applyAlignment="1">
      <alignment vertical="center" textRotation="0" wrapText="false" shrinkToFit="false"/>
    </xf>
    <xf xfId="0" fontId="18" numFmtId="175" fillId="3" borderId="1" applyFont="1" applyNumberFormat="1" applyFill="1" applyBorder="1" applyAlignment="1">
      <alignment horizontal="center" vertical="center" textRotation="0" wrapText="true" shrinkToFit="false"/>
    </xf>
    <xf xfId="0" fontId="6" numFmtId="172" fillId="0" borderId="9" applyFont="1" applyNumberFormat="1" applyFill="0" applyBorder="1" applyAlignment="1">
      <alignment horizontal="center" vertical="center" textRotation="0" wrapText="false" shrinkToFit="false"/>
    </xf>
    <xf xfId="0" fontId="33" numFmtId="0" fillId="4" borderId="19" applyFont="1" applyNumberFormat="0" applyFill="1" applyBorder="1" applyAlignment="1">
      <alignment horizontal="center" vertical="center" textRotation="0" wrapText="false" shrinkToFit="false"/>
    </xf>
    <xf xfId="0" fontId="34" numFmtId="0" fillId="0" borderId="20" applyFont="1" applyNumberFormat="0" applyFill="0" applyBorder="1" applyAlignment="1">
      <alignment horizontal="center" vertical="center" textRotation="0" wrapText="false" shrinkToFit="false"/>
    </xf>
    <xf xfId="0" fontId="6" numFmtId="165" fillId="0" borderId="0" applyFont="1" applyNumberFormat="1" applyFill="0" applyBorder="0" applyAlignment="1">
      <alignment vertical="center" textRotation="0" wrapText="false" shrinkToFit="false"/>
    </xf>
    <xf xfId="0" fontId="6" numFmtId="165" fillId="0" borderId="0" applyFont="1" applyNumberFormat="1" applyFill="0" applyBorder="0" applyAlignment="1">
      <alignment horizontal="right" vertical="center" textRotation="0" wrapText="false" shrinkToFit="false"/>
    </xf>
    <xf xfId="0" fontId="6" numFmtId="165" fillId="0" borderId="8" applyFont="1" applyNumberFormat="1" applyFill="0" applyBorder="1" applyAlignment="1">
      <alignment vertical="center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false" shrinkToFit="false"/>
    </xf>
    <xf xfId="0" fontId="6" numFmtId="165" fillId="0" borderId="2" applyFont="1" applyNumberFormat="1" applyFill="0" applyBorder="1" applyAlignment="1">
      <alignment horizontal="right" vertical="center" textRotation="0" wrapText="false" shrinkToFit="false"/>
    </xf>
    <xf xfId="0" fontId="6" numFmtId="165" fillId="0" borderId="23" applyFont="1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895b35ba23016e2f07de7d55cd6b59f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114</xdr:row>
      <xdr:rowOff>28575</xdr:rowOff>
    </xdr:from>
    <xdr:to>
      <xdr:col>11</xdr:col>
      <xdr:colOff>142875</xdr:colOff>
      <xdr:row>120</xdr:row>
      <xdr:rowOff>76200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762250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W121"/>
  <sheetViews>
    <sheetView tabSelected="1" workbookViewId="0" zoomScale="80" zoomScaleNormal="87" showZeros="0" view="pageBreakPreview" showGridLines="true" showRowColHeaders="1" topLeftCell="A15">
      <selection activeCell="I114" sqref="I114"/>
    </sheetView>
  </sheetViews>
  <sheetFormatPr defaultRowHeight="14.4" defaultColWidth="9" outlineLevelRow="0" outlineLevelCol="0"/>
  <cols>
    <col min="1" max="1" width="0.875" customWidth="true" style="2"/>
    <col min="2" max="2" width="3.625" customWidth="true" style="1"/>
    <col min="3" max="3" width="10.625" customWidth="true" style="1"/>
    <col min="4" max="4" width="10.625" customWidth="true" style="1"/>
    <col min="5" max="5" width="8.625" customWidth="true" style="1"/>
    <col min="6" max="6" width="25.625" customWidth="true" style="1"/>
    <col min="7" max="7" width="8.625" customWidth="true" style="1"/>
    <col min="8" max="8" width="11.375" customWidth="true" style="1"/>
    <col min="9" max="9" width="12.5" customWidth="true" style="1"/>
    <col min="10" max="10" width="8.25" customWidth="true" style="1"/>
    <col min="11" max="11" width="8.25" customWidth="true" style="1"/>
    <col min="12" max="12" width="10.375" customWidth="true" style="1"/>
    <col min="13" max="13" width="9" style="1"/>
    <col min="14" max="14" width="13.125" customWidth="true" style="1"/>
    <col min="15" max="15" width="6.375" customWidth="true" style="1"/>
    <col min="16" max="16" width="9" style="1"/>
    <col min="17" max="17" width="14.125" customWidth="true" style="1"/>
    <col min="18" max="18" width="9" style="1"/>
    <col min="19" max="19" width="18.875" customWidth="true" style="1"/>
    <col min="20" max="20" width="20" customWidth="true" style="1"/>
    <col min="21" max="21" width="9" style="1"/>
  </cols>
  <sheetData>
    <row r="1" spans="1:23" customHeight="1" ht="47.25" s="83" customFormat="1">
      <c r="B1" s="84" t="inlineStr">
        <is>
          <r>
            <t xml:space="preserve">COMMERCIAL INVOICE &amp; PACKING LIST</t>
          </r>
        </is>
      </c>
      <c r="C1" s="85"/>
      <c r="D1" s="85"/>
      <c r="E1" s="85"/>
      <c r="F1" s="85"/>
      <c r="G1" s="85"/>
      <c r="H1" s="85"/>
      <c r="I1" s="85"/>
      <c r="J1" s="85"/>
      <c r="K1" s="85"/>
      <c r="L1" s="86"/>
      <c r="S1" s="28"/>
      <c r="T1" s="28"/>
      <c r="U1" s="28"/>
      <c r="V1" s="28"/>
      <c r="W1" s="83"/>
    </row>
    <row r="2" spans="1:23" customHeight="1" ht="18" s="83" customFormat="1">
      <c r="B2" s="87" t="inlineStr">
        <is>
          <r>
            <t xml:space="preserve">1) Shipper / Exporter</t>
          </r>
        </is>
      </c>
      <c r="C2" s="88"/>
      <c r="D2" s="88"/>
      <c r="E2" s="88"/>
      <c r="F2" s="89"/>
      <c r="G2" s="52" t="inlineStr">
        <is>
          <r>
            <t xml:space="preserve">8) No. &amp; date of invoice</t>
          </r>
        </is>
      </c>
      <c r="H2" s="88"/>
      <c r="I2" s="88"/>
      <c r="J2" s="88"/>
      <c r="K2" s="88"/>
      <c r="L2" s="89"/>
      <c r="N2" s="77" t="inlineStr">
        <is>
          <r>
            <t xml:space="preserve">INCHOEN, KOREA</t>
          </r>
        </is>
      </c>
      <c r="O2" s="86"/>
      <c r="P2" s="90" t="inlineStr">
        <is>
          <r>
            <t xml:space="preserve">AZERBAIJAN</t>
          </r>
        </is>
      </c>
      <c r="Q2" s="86"/>
      <c r="S2" s="28" t="inlineStr">
        <is>
          <r>
            <t xml:space="preserve">INCHOEN, KOREA</t>
          </r>
        </is>
      </c>
      <c r="T2" s="28" t="inlineStr">
        <is>
          <r>
            <t xml:space="preserve">AZERBAIJAN</t>
          </r>
        </is>
      </c>
      <c r="U2" s="28"/>
      <c r="V2" s="28"/>
      <c r="W2" s="83"/>
    </row>
    <row r="3" spans="1:23" customHeight="1" ht="15.75" s="83" customFormat="1">
      <c r="B3" s="91" t="s">
        <v>5</v>
      </c>
      <c r="F3" s="92"/>
      <c r="G3" s="53"/>
      <c r="J3" s="54" t="str">
        <f>TODAY()</f>
        <v>0</v>
      </c>
      <c r="L3" s="92"/>
      <c r="N3" s="77" t="inlineStr">
        <is>
          <r>
            <t xml:space="preserve">MASAN, KOREA</t>
          </r>
        </is>
      </c>
      <c r="O3" s="86"/>
      <c r="P3" s="90" t="inlineStr">
        <is>
          <r>
            <t xml:space="preserve">DURRESS,  ALBANIA</t>
          </r>
        </is>
      </c>
      <c r="Q3" s="86"/>
      <c r="S3" s="28" t="inlineStr">
        <is>
          <r>
            <t xml:space="preserve">MASAN, KOREA</t>
          </r>
        </is>
      </c>
      <c r="T3" s="28" t="inlineStr">
        <is>
          <r>
            <t xml:space="preserve">DURRESS,  ALBANIA</t>
          </r>
        </is>
      </c>
      <c r="U3" s="28"/>
      <c r="V3" s="28"/>
      <c r="W3" s="83"/>
    </row>
    <row r="4" spans="1:23" customHeight="1" ht="15.75" s="83" customFormat="1">
      <c r="B4" s="93"/>
      <c r="F4" s="92"/>
      <c r="G4" s="94"/>
      <c r="H4" s="94"/>
      <c r="I4" s="94"/>
      <c r="J4" s="94"/>
      <c r="K4" s="94"/>
      <c r="L4" s="95"/>
      <c r="N4" s="75" t="inlineStr">
        <is>
          <r>
            <t xml:space="preserve">PYEONGTAEK, KOREA</t>
          </r>
        </is>
      </c>
      <c r="O4" s="86"/>
      <c r="P4" s="90" t="inlineStr">
        <is>
          <r>
            <t xml:space="preserve">KYRGYZSTAN</t>
          </r>
        </is>
      </c>
      <c r="Q4" s="86"/>
      <c r="S4" s="28" t="inlineStr">
        <is>
          <r>
            <t xml:space="preserve">PYEONGTAEK, KOREA</t>
          </r>
        </is>
      </c>
      <c r="T4" s="28" t="inlineStr">
        <is>
          <r>
            <t xml:space="preserve">KYRGYZSTAN</t>
          </r>
        </is>
      </c>
      <c r="U4" s="28"/>
      <c r="V4" s="28"/>
      <c r="W4" s="83"/>
    </row>
    <row r="5" spans="1:23" customHeight="1" ht="18" s="83" customFormat="1">
      <c r="B5" s="93"/>
      <c r="F5" s="92"/>
      <c r="G5" s="56" t="inlineStr">
        <is>
          <r>
            <t xml:space="preserve">9) No. &amp; date of L/C</t>
          </r>
        </is>
      </c>
      <c r="L5" s="92"/>
      <c r="N5" s="75" t="inlineStr">
        <is>
          <r>
            <t xml:space="preserve">BUSAN, KOREA</t>
          </r>
        </is>
      </c>
      <c r="O5" s="86"/>
      <c r="P5" s="90" t="inlineStr">
        <is>
          <r>
            <t xml:space="preserve">VLADIVOSTOK,  RUSSIA</t>
          </r>
        </is>
      </c>
      <c r="Q5" s="86"/>
      <c r="S5" s="28" t="inlineStr">
        <is>
          <r>
            <t xml:space="preserve">BUSAN, KOREA</t>
          </r>
        </is>
      </c>
      <c r="T5" s="28" t="inlineStr">
        <is>
          <r>
            <t xml:space="preserve">VLADIVOSTOK,  RUSSIA</t>
          </r>
        </is>
      </c>
      <c r="U5" s="28"/>
      <c r="V5" s="28"/>
      <c r="W5" s="83"/>
    </row>
    <row r="6" spans="1:23" customHeight="1" ht="15.75" s="83" customFormat="1">
      <c r="B6" s="93"/>
      <c r="F6" s="92"/>
      <c r="G6" s="57" t="inlineStr">
        <is>
          <r>
            <t xml:space="preserve">TTR BASE</t>
          </r>
        </is>
      </c>
      <c r="L6" s="92"/>
      <c r="N6" s="75" t="inlineStr">
        <is>
          <r>
            <t xml:space="preserve"> </t>
          </r>
        </is>
      </c>
      <c r="O6" s="86"/>
      <c r="P6" s="90" t="inlineStr">
        <is>
          <r>
            <t xml:space="preserve">KAZAKHSTAN</t>
          </r>
        </is>
      </c>
      <c r="Q6" s="86"/>
      <c r="S6" s="28"/>
      <c r="T6" s="28" t="inlineStr">
        <is>
          <r>
            <t xml:space="preserve">KAZAKHSTAN</t>
          </r>
        </is>
      </c>
      <c r="U6" s="28"/>
      <c r="V6" s="28"/>
      <c r="W6" s="83"/>
    </row>
    <row r="7" spans="1:23" customHeight="1" ht="15.75" s="83" customFormat="1">
      <c r="B7" s="96"/>
      <c r="C7" s="94"/>
      <c r="D7" s="94"/>
      <c r="E7" s="94"/>
      <c r="F7" s="95"/>
      <c r="G7" s="94"/>
      <c r="H7" s="94"/>
      <c r="I7" s="94"/>
      <c r="J7" s="94"/>
      <c r="K7" s="94"/>
      <c r="L7" s="95"/>
      <c r="N7" s="75"/>
      <c r="O7" s="86"/>
      <c r="P7" s="76" t="inlineStr">
        <is>
          <r>
            <t xml:space="preserve">BURGAS,  BULGARIA</t>
          </r>
        </is>
      </c>
      <c r="Q7" s="86"/>
      <c r="S7" s="28"/>
      <c r="T7" s="28" t="inlineStr">
        <is>
          <r>
            <t xml:space="preserve">BURGAS,  BULGARIA</t>
          </r>
        </is>
      </c>
      <c r="U7" s="28"/>
      <c r="V7" s="28"/>
      <c r="W7" s="83"/>
    </row>
    <row r="8" spans="1:23" customHeight="1" ht="18" s="83" customFormat="1">
      <c r="B8" s="87" t="inlineStr">
        <is>
          <r>
            <t xml:space="preserve">2) For account &amp; risk of Messers.</t>
          </r>
        </is>
      </c>
      <c r="C8" s="88"/>
      <c r="D8" s="88"/>
      <c r="E8" s="88"/>
      <c r="F8" s="89"/>
      <c r="G8" s="52" t="inlineStr">
        <is>
          <r>
            <t xml:space="preserve">10) L/C issuing bank</t>
          </r>
        </is>
      </c>
      <c r="H8" s="88"/>
      <c r="I8" s="88"/>
      <c r="J8" s="88"/>
      <c r="K8" s="88"/>
      <c r="L8" s="89"/>
      <c r="N8" s="75" t="inlineStr">
        <is>
          <r>
            <t xml:space="preserve"> </t>
          </r>
        </is>
      </c>
      <c r="O8" s="86"/>
      <c r="P8" s="76" t="inlineStr">
        <is>
          <r>
            <t xml:space="preserve">KLAIPEDA</t>
          </r>
        </is>
      </c>
      <c r="Q8" s="86"/>
      <c r="S8" s="28"/>
      <c r="T8" s="28" t="inlineStr">
        <is>
          <r>
            <t xml:space="preserve">KLAIPEDA</t>
          </r>
        </is>
      </c>
      <c r="U8" s="28"/>
      <c r="V8" s="28"/>
      <c r="W8" s="83"/>
    </row>
    <row r="9" spans="1:23" customHeight="1" ht="48.75" s="83" customFormat="1">
      <c r="B9" s="97" t="inlineStr">
        <is>
          <r>
            <t xml:space="preserve">IMP. EXP. HANNA LTDA
RUT 77177119-K
MZ. F SITIO 062-A,
IQUIQUE, CHILE
TEL : 56 9 5462 5794</t>
          </r>
        </is>
      </c>
      <c r="F9" s="92"/>
      <c r="G9" s="98" t="inlineStr">
        <is>
          <r>
            <t xml:space="preserve"> </t>
          </r>
        </is>
      </c>
      <c r="L9" s="92"/>
      <c r="N9" s="75" t="inlineStr">
        <is>
          <r>
            <t xml:space="preserve"> </t>
          </r>
        </is>
      </c>
      <c r="O9" s="86"/>
      <c r="P9" s="76" t="inlineStr">
        <is>
          <r>
            <t xml:space="preserve">NORRKOPING</t>
          </r>
        </is>
      </c>
      <c r="Q9" s="86"/>
      <c r="S9" s="28"/>
      <c r="T9" s="28" t="inlineStr">
        <is>
          <r>
            <t xml:space="preserve">NORRKOPING</t>
          </r>
        </is>
      </c>
      <c r="U9" s="28"/>
      <c r="V9" s="28"/>
      <c r="W9" s="83"/>
    </row>
    <row r="10" spans="1:23" customHeight="1" ht="18" s="83" customFormat="1">
      <c r="B10" s="93"/>
      <c r="F10" s="92"/>
      <c r="G10" s="52" t="inlineStr">
        <is>
          <r>
            <t xml:space="preserve">*Remark</t>
          </r>
        </is>
      </c>
      <c r="H10" s="88"/>
      <c r="I10" s="88"/>
      <c r="J10" s="88"/>
      <c r="K10" s="88"/>
      <c r="L10" s="89"/>
      <c r="N10" s="75" t="inlineStr">
        <is>
          <r>
            <t xml:space="preserve"> </t>
          </r>
        </is>
      </c>
      <c r="O10" s="86"/>
      <c r="P10" s="90" t="inlineStr">
        <is>
          <r>
            <t xml:space="preserve">U.A.E (DUBAI)</t>
          </r>
        </is>
      </c>
      <c r="Q10" s="86"/>
      <c r="S10" s="28"/>
      <c r="T10" s="28" t="inlineStr">
        <is>
          <r>
            <t xml:space="preserve">U.A.E (DUBAI)</t>
          </r>
        </is>
      </c>
      <c r="U10" s="28"/>
      <c r="V10" s="28"/>
      <c r="W10" s="83"/>
    </row>
    <row r="11" spans="1:23" customHeight="1" ht="29.25" s="83" customFormat="1">
      <c r="B11" s="96"/>
      <c r="C11" s="94"/>
      <c r="D11" s="94"/>
      <c r="E11" s="94"/>
      <c r="F11" s="95"/>
      <c r="G11" s="58" t="inlineStr">
        <is>
          <r>
            <t xml:space="preserve">USED KOREAN CARS</t>
          </r>
        </is>
      </c>
      <c r="J11" s="99" t="inlineStr">
        <is>
          <r>
            <t xml:space="preserve">Q'TY : UNIT</t>
          </r>
        </is>
      </c>
      <c r="L11" s="92"/>
      <c r="N11" s="75" t="inlineStr">
        <is>
          <r>
            <t xml:space="preserve"> </t>
          </r>
        </is>
      </c>
      <c r="O11" s="86"/>
      <c r="P11" s="76" t="inlineStr">
        <is>
          <r>
            <t xml:space="preserve">FRANCE</t>
          </r>
        </is>
      </c>
      <c r="Q11" s="86"/>
      <c r="S11" s="28"/>
      <c r="T11" s="28" t="inlineStr">
        <is>
          <r>
            <t xml:space="preserve">FRANCE</t>
          </r>
        </is>
      </c>
      <c r="U11" s="28"/>
      <c r="V11" s="28"/>
      <c r="W11" s="83"/>
    </row>
    <row r="12" spans="1:23" customHeight="1" ht="18" s="83" customFormat="1">
      <c r="B12" s="50" t="inlineStr">
        <is>
          <r>
            <t xml:space="preserve">3) Notify party</t>
          </r>
        </is>
      </c>
      <c r="C12" s="88"/>
      <c r="D12" s="88"/>
      <c r="E12" s="88"/>
      <c r="F12" s="88"/>
      <c r="G12" s="100" t="inlineStr">
        <is>
          <r>
            <t xml:space="preserve">CONTAINER</t>
          </r>
        </is>
      </c>
      <c r="L12" s="92"/>
      <c r="N12" s="75" t="inlineStr">
        <is>
          <r>
            <t xml:space="preserve"> </t>
          </r>
        </is>
      </c>
      <c r="O12" s="86"/>
      <c r="P12" s="90" t="inlineStr">
        <is>
          <r>
            <t xml:space="preserve">CHILE</t>
          </r>
        </is>
      </c>
      <c r="Q12" s="86"/>
      <c r="S12" s="28"/>
      <c r="T12" s="28" t="inlineStr">
        <is>
          <r>
            <t xml:space="preserve">IQUIQUE, CHILE</t>
          </r>
        </is>
      </c>
      <c r="U12" s="28"/>
      <c r="V12" s="28"/>
      <c r="W12" s="83"/>
    </row>
    <row r="13" spans="1:23" customHeight="1" ht="13.5" s="83" customFormat="1">
      <c r="B13" s="62" t="inlineStr">
        <is>
          <r>
            <t xml:space="preserve">SAME AS ABOVE</t>
          </r>
        </is>
      </c>
      <c r="G13" s="93"/>
      <c r="L13" s="92"/>
      <c r="S13" s="28"/>
      <c r="T13" s="28"/>
      <c r="U13" s="28"/>
      <c r="V13" s="28"/>
      <c r="W13" s="83"/>
    </row>
    <row r="14" spans="1:23" customHeight="1" ht="13.5" s="83" customFormat="1">
      <c r="B14" s="96"/>
      <c r="C14" s="94"/>
      <c r="D14" s="94"/>
      <c r="E14" s="94"/>
      <c r="F14" s="94"/>
      <c r="G14" s="93"/>
      <c r="L14" s="92"/>
      <c r="N14" s="82" t="inlineStr">
        <is>
          <r>
            <t xml:space="preserve">SSANCAR MADAGASCAR
TEL:033-152-9977 / 034-142-9977
101 ANTANANARIVO MADAGASCAR
LOT SIBD 35 TSARALALANA ANALAMANGA</t>
          </r>
        </is>
      </c>
      <c r="S14" s="28"/>
      <c r="T14" s="28"/>
      <c r="U14" s="28"/>
      <c r="V14" s="28"/>
      <c r="W14" s="83"/>
    </row>
    <row r="15" spans="1:23" customHeight="1" ht="18" s="83" customFormat="1">
      <c r="B15" s="87" t="inlineStr">
        <is>
          <r>
            <t xml:space="preserve">4) Port of loading</t>
          </r>
        </is>
      </c>
      <c r="C15" s="88"/>
      <c r="D15" s="89"/>
      <c r="E15" s="51" t="inlineStr">
        <is>
          <r>
            <t xml:space="preserve">5) Final Destination</t>
          </r>
        </is>
      </c>
      <c r="F15" s="88"/>
      <c r="G15" s="59" t="inlineStr">
        <is>
          <r>
            <t xml:space="preserve">반입지 : </t>
          </r>
        </is>
      </c>
      <c r="I15" s="55" t="inlineStr">
        <is>
          <r>
            <t xml:space="preserve">PNIT (030-77-013)</t>
          </r>
        </is>
      </c>
      <c r="J15" s="83"/>
      <c r="K15" s="83"/>
      <c r="L15" s="92"/>
      <c r="S15" s="28"/>
      <c r="T15" s="28"/>
      <c r="U15" s="28"/>
      <c r="V15" s="28"/>
      <c r="W15" s="83"/>
    </row>
    <row r="16" spans="1:23" customHeight="1" ht="24" s="83" customFormat="1">
      <c r="B16" s="60" t="inlineStr">
        <is>
          <r>
            <t xml:space="preserve">BUSAN, KOREA</t>
          </r>
        </is>
      </c>
      <c r="C16" s="94"/>
      <c r="D16" s="94"/>
      <c r="E16" s="61" t="inlineStr">
        <is>
          <r>
            <t xml:space="preserve">IQUIQUE, CHILE</t>
          </r>
        </is>
      </c>
      <c r="F16" s="94"/>
      <c r="G16" s="93"/>
      <c r="I16" s="83"/>
      <c r="J16" s="83"/>
      <c r="K16" s="83"/>
      <c r="L16" s="92"/>
      <c r="S16" s="28"/>
      <c r="T16" s="28"/>
      <c r="U16" s="28"/>
      <c r="V16" s="28"/>
      <c r="W16" s="83"/>
    </row>
    <row r="17" spans="1:23" customHeight="1" ht="18" s="83" customFormat="1">
      <c r="B17" s="87" t="inlineStr">
        <is>
          <r>
            <t xml:space="preserve">6) Vessel name</t>
          </r>
        </is>
      </c>
      <c r="C17" s="88"/>
      <c r="D17" s="89"/>
      <c r="E17" s="51" t="inlineStr">
        <is>
          <r>
            <t xml:space="preserve">7) Sailing on or about</t>
          </r>
        </is>
      </c>
      <c r="F17" s="88"/>
      <c r="G17" s="70" t="inlineStr">
        <is>
          <r>
            <t xml:space="preserve">CONTAINER NO :</t>
          </r>
        </is>
      </c>
      <c r="I17" s="66" t="inlineStr">
        <is>
          <r>
            <t xml:space="preserve">TRHU6652495 / KRAT55828</t>
          </r>
        </is>
      </c>
      <c r="L17" s="92"/>
      <c r="S17" s="28"/>
      <c r="T17" s="28"/>
      <c r="U17" s="28"/>
      <c r="V17" s="28"/>
      <c r="W17" s="83"/>
    </row>
    <row r="18" spans="1:23" customHeight="1" ht="24" s="83" customFormat="1">
      <c r="B18" s="64"/>
      <c r="C18" s="94"/>
      <c r="D18" s="94"/>
      <c r="E18" s="64"/>
      <c r="F18" s="94"/>
      <c r="G18" s="96"/>
      <c r="H18" s="94"/>
      <c r="I18" s="94"/>
      <c r="J18" s="94"/>
      <c r="K18" s="94"/>
      <c r="L18" s="95"/>
      <c r="N18" s="74"/>
      <c r="S18" s="28"/>
      <c r="T18" s="28"/>
      <c r="U18" s="28"/>
      <c r="V18" s="28"/>
      <c r="W18" s="83"/>
    </row>
    <row r="19" spans="1:23" customHeight="1" ht="29.25" s="83" customFormat="1">
      <c r="B19" s="15" t="inlineStr">
        <is>
          <r>
            <t xml:space="preserve">11) MARKS AND NUMBERS OF PKGS</t>
          </r>
        </is>
      </c>
      <c r="C19" s="15"/>
      <c r="D19" s="11"/>
      <c r="E19" s="11" t="inlineStr">
        <is>
          <r>
            <t xml:space="preserve">12) Description of Goods</t>
          </r>
        </is>
      </c>
      <c r="F19" s="11"/>
      <c r="G19" s="12" t="inlineStr">
        <is>
          <r>
            <t xml:space="preserve">13) Quantity</t>
          </r>
        </is>
      </c>
      <c r="H19" s="12" t="inlineStr">
        <is>
          <r>
            <t xml:space="preserve">14) Unit price</t>
          </r>
        </is>
      </c>
      <c r="I19" s="12" t="inlineStr">
        <is>
          <r>
            <t xml:space="preserve">15) Amount</t>
          </r>
        </is>
      </c>
      <c r="J19" s="12" t="inlineStr">
        <is>
          <r>
            <t xml:space="preserve">16) WEIGHT</t>
          </r>
        </is>
      </c>
      <c r="K19" s="12" t="inlineStr">
        <is>
          <r>
            <t xml:space="preserve">17) CBM</t>
          </r>
        </is>
      </c>
      <c r="L19" s="13" t="inlineStr">
        <is>
          <r>
            <t xml:space="preserve">18) DISPLACE-
MENT(cc)</t>
          </r>
        </is>
      </c>
      <c r="N19" s="31" t="inlineStr">
        <is>
          <r>
            <t xml:space="preserve">인천구항</t>
          </r>
        </is>
      </c>
      <c r="O19" s="81" t="inlineStr">
        <is>
          <r>
            <t xml:space="preserve">인천</t>
          </r>
        </is>
      </c>
      <c r="P19" s="81" t="inlineStr">
        <is>
          <r>
            <t xml:space="preserve">ICT ( 020-77-002 )</t>
          </r>
        </is>
      </c>
      <c r="Q19" s="86"/>
      <c r="R19" s="28"/>
      <c r="S19" s="28" t="inlineStr">
        <is>
          <r>
            <t xml:space="preserve">ICT ( 020-77-002 )</t>
          </r>
        </is>
      </c>
      <c r="T19" s="28"/>
      <c r="W19" s="83"/>
    </row>
    <row r="20" spans="1:23" customHeight="1" ht="25.5" s="6" customFormat="1">
      <c r="A20" s="3"/>
      <c r="B20" s="16" t="inlineStr">
        <is>
          <r>
            <t xml:space="preserve">NO.</t>
          </r>
        </is>
      </c>
      <c r="C20" s="63" t="inlineStr">
        <is>
          <r>
            <t xml:space="preserve">Commodity</t>
          </r>
        </is>
      </c>
      <c r="D20" s="88"/>
      <c r="E20" s="4" t="inlineStr">
        <is>
          <r>
            <t xml:space="preserve">Year</t>
          </r>
        </is>
      </c>
      <c r="F20" s="4" t="inlineStr">
        <is>
          <r>
            <t xml:space="preserve">Chassis No.</t>
          </r>
        </is>
      </c>
      <c r="G20" s="101" t="inlineStr">
        <is>
          <r>
            <t xml:space="preserve">Q'TY</t>
          </r>
        </is>
      </c>
      <c r="H20" s="102" t="inlineStr">
        <is>
          <r>
            <t xml:space="preserve">Unit Price</t>
          </r>
        </is>
      </c>
      <c r="I20" s="103" t="inlineStr">
        <is>
          <r>
            <t xml:space="preserve">AMOUNT</t>
          </r>
        </is>
      </c>
      <c r="J20" s="5" t="inlineStr">
        <is>
          <r>
            <t xml:space="preserve">Weight
(KG)</t>
          </r>
        </is>
      </c>
      <c r="K20" s="4" t="inlineStr">
        <is>
          <r>
            <t xml:space="preserve">CBM</t>
          </r>
        </is>
      </c>
      <c r="L20" s="104" t="inlineStr">
        <is>
          <r>
            <t xml:space="preserve">Shipping</t>
          </r>
        </is>
      </c>
      <c r="N20" s="31" t="inlineStr">
        <is>
          <r>
            <t xml:space="preserve">선광신항</t>
          </r>
        </is>
      </c>
      <c r="O20" s="81" t="inlineStr">
        <is>
          <r>
            <t xml:space="preserve">인천</t>
          </r>
        </is>
      </c>
      <c r="P20" s="81" t="inlineStr">
        <is>
          <r>
            <t xml:space="preserve"> SNCT  ( 020-12-014 )</t>
          </r>
        </is>
      </c>
      <c r="Q20" s="86"/>
      <c r="R20" s="28"/>
      <c r="S20" s="28" t="inlineStr">
        <is>
          <r>
            <t xml:space="preserve">SNCT  ( 020-12-014 )</t>
          </r>
        </is>
      </c>
      <c r="T20" s="28"/>
      <c r="U20" s="1"/>
      <c r="V20" s="1"/>
      <c r="W20" s="1"/>
    </row>
    <row r="21" spans="1:23" customHeight="1" ht="27" s="105" customFormat="1">
      <c r="A21" s="106"/>
      <c r="B21" s="36">
        <v>1</v>
      </c>
      <c r="C21" s="107" t="inlineStr">
        <is>
          <r>
            <t xml:space="preserve">HYUNDAI</t>
          </r>
        </is>
      </c>
      <c r="D21" s="108" t="inlineStr">
        <is>
          <r>
            <t xml:space="preserve">ACCENT</t>
          </r>
        </is>
      </c>
      <c r="E21" s="45">
        <v>2016</v>
      </c>
      <c r="F21" s="46" t="inlineStr">
        <is>
          <r>
            <t xml:space="preserve">KMHCT51UGGU281238</t>
          </r>
        </is>
      </c>
      <c r="G21" s="47">
        <v>1</v>
      </c>
      <c r="H21" s="109">
        <v>2300</v>
      </c>
      <c r="I21" s="44" t="str">
        <f>H21</f>
        <v>0</v>
      </c>
      <c r="J21" s="110">
        <v>1545</v>
      </c>
      <c r="K21" s="111"/>
      <c r="L21" s="112">
        <v>1075</v>
      </c>
      <c r="M21" s="14" t="str">
        <f>SUM(I21,L21)</f>
        <v>0</v>
      </c>
      <c r="N21" s="31" t="inlineStr">
        <is>
          <r>
            <t xml:space="preserve">한진</t>
          </r>
        </is>
      </c>
      <c r="O21" s="81" t="inlineStr">
        <is>
          <r>
            <t xml:space="preserve">인천</t>
          </r>
        </is>
      </c>
      <c r="P21" s="81" t="inlineStr">
        <is>
          <r>
            <t xml:space="preserve">HJIT  ( 020-12-016 )</t>
          </r>
        </is>
      </c>
      <c r="Q21" s="86"/>
      <c r="R21" s="28"/>
      <c r="S21" s="28" t="inlineStr">
        <is>
          <r>
            <t xml:space="preserve">HJIT  ( 020-12-016 )</t>
          </r>
        </is>
      </c>
      <c r="T21" s="28"/>
      <c r="U21" s="6"/>
      <c r="V21" s="6"/>
      <c r="W21" s="6"/>
    </row>
    <row r="22" spans="1:23" customHeight="1" ht="23.25" s="105" customFormat="1">
      <c r="A22" s="106"/>
      <c r="B22" s="114"/>
      <c r="C22" s="71" t="inlineStr">
        <is>
          <r>
            <t xml:space="preserve">TYPE OF FUEL :</t>
          </r>
        </is>
      </c>
      <c r="D22" s="85"/>
      <c r="E22" s="48" t="inlineStr">
        <is>
          <r>
            <t xml:space="preserve"> DIESEL </t>
          </r>
        </is>
      </c>
      <c r="F22" s="72" t="inlineStr">
        <is>
          <r>
            <t xml:space="preserve">/    PISTON  DISPLACEMENT : </t>
          </r>
        </is>
      </c>
      <c r="G22" s="115">
        <v>1582</v>
      </c>
      <c r="I22" s="72"/>
      <c r="J22" s="68"/>
      <c r="K22" s="85"/>
      <c r="L22" s="86"/>
      <c r="M22" s="113"/>
      <c r="N22" s="31" t="inlineStr">
        <is>
          <r>
            <t xml:space="preserve">평택</t>
          </r>
        </is>
      </c>
      <c r="O22" s="32" t="inlineStr">
        <is>
          <r>
            <t xml:space="preserve">평택</t>
          </r>
        </is>
      </c>
      <c r="P22" s="81" t="inlineStr">
        <is>
          <r>
            <t xml:space="preserve">PCTC  ( 016-12-033 )</t>
          </r>
        </is>
      </c>
      <c r="Q22" s="86"/>
      <c r="R22" s="28"/>
      <c r="S22" s="28" t="inlineStr">
        <is>
          <r>
            <t xml:space="preserve">PCTC  ( 016-12-033 )</t>
          </r>
        </is>
      </c>
      <c r="T22" s="29"/>
      <c r="U22" s="6"/>
      <c r="W22" s="105"/>
    </row>
    <row r="23" spans="1:23" customHeight="1" ht="33" s="105" customFormat="1">
      <c r="A23" s="106"/>
      <c r="B23" s="116"/>
      <c r="C23" s="117" t="inlineStr">
        <is>
          <r>
            <t xml:space="preserve"> </t>
          </r>
        </is>
      </c>
      <c r="D23" s="85"/>
      <c r="E23" s="85"/>
      <c r="F23" s="85"/>
      <c r="G23" s="85"/>
      <c r="H23" s="85"/>
      <c r="I23" s="85"/>
      <c r="J23" s="85"/>
      <c r="K23" s="85"/>
      <c r="L23" s="86"/>
      <c r="M23" s="113"/>
      <c r="N23" s="31" t="inlineStr">
        <is>
          <r>
            <t xml:space="preserve">동방아이포트</t>
          </r>
        </is>
      </c>
      <c r="O23" s="32" t="inlineStr">
        <is>
          <r>
            <t xml:space="preserve">평택</t>
          </r>
        </is>
      </c>
      <c r="P23" s="81" t="inlineStr">
        <is>
          <r>
            <t xml:space="preserve">PNCT  ( 016-12-002 )</t>
          </r>
        </is>
      </c>
      <c r="Q23" s="86"/>
      <c r="R23" s="28"/>
      <c r="S23" s="28" t="inlineStr">
        <is>
          <r>
            <t xml:space="preserve">PNCT  ( 016-12-002 )</t>
          </r>
        </is>
      </c>
      <c r="T23" s="29"/>
      <c r="W23" s="105"/>
    </row>
    <row r="24" spans="1:23" customHeight="1" ht="27" s="105" customFormat="1">
      <c r="A24" s="106"/>
      <c r="B24" s="36">
        <v>2</v>
      </c>
      <c r="C24" s="107" t="inlineStr">
        <is>
          <r>
            <t xml:space="preserve">HYUNDAI</t>
          </r>
        </is>
      </c>
      <c r="D24" s="108" t="inlineStr">
        <is>
          <r>
            <t xml:space="preserve">GRAND STAREX</t>
          </r>
        </is>
      </c>
      <c r="E24" s="45">
        <v>2017</v>
      </c>
      <c r="F24" s="46" t="inlineStr">
        <is>
          <r>
            <t xml:space="preserve">KMJWA37KBHU886217</t>
          </r>
        </is>
      </c>
      <c r="G24" s="47">
        <v>1</v>
      </c>
      <c r="H24" s="109">
        <v>6400</v>
      </c>
      <c r="I24" s="44" t="str">
        <f>H24</f>
        <v>0</v>
      </c>
      <c r="J24" s="110">
        <v>3075</v>
      </c>
      <c r="K24" s="111"/>
      <c r="L24" s="112">
        <v>1075</v>
      </c>
      <c r="M24" s="14" t="str">
        <f>SUM(I24,L24)</f>
        <v>0</v>
      </c>
      <c r="N24" s="31" t="inlineStr">
        <is>
          <r>
            <t xml:space="preserve">부산국제신항</t>
          </r>
        </is>
      </c>
      <c r="O24" s="118" t="inlineStr">
        <is>
          <r>
            <t xml:space="preserve">부산</t>
          </r>
        </is>
      </c>
      <c r="P24" s="81" t="inlineStr">
        <is>
          <r>
            <t xml:space="preserve">PNIT (030-77-013)</t>
          </r>
        </is>
      </c>
      <c r="Q24" s="86"/>
      <c r="R24" s="28"/>
      <c r="S24" s="28" t="inlineStr">
        <is>
          <r>
            <t xml:space="preserve">PNIT (030-77-013)</t>
          </r>
        </is>
      </c>
      <c r="W24" s="105"/>
    </row>
    <row r="25" spans="1:23" customHeight="1" ht="23.25" s="105" customFormat="1">
      <c r="A25" s="106"/>
      <c r="B25" s="114"/>
      <c r="C25" s="71" t="inlineStr">
        <is>
          <r>
            <t xml:space="preserve">TYPE OF FUEL :</t>
          </r>
        </is>
      </c>
      <c r="D25" s="85"/>
      <c r="E25" s="48" t="inlineStr">
        <is>
          <r>
            <t xml:space="preserve"> DIESEL </t>
          </r>
        </is>
      </c>
      <c r="F25" s="72" t="inlineStr">
        <is>
          <r>
            <t xml:space="preserve">/    PISTON  DISPLACEMENT : </t>
          </r>
        </is>
      </c>
      <c r="G25" s="115">
        <v>2497</v>
      </c>
      <c r="I25" s="72"/>
      <c r="J25" s="68"/>
      <c r="K25" s="85"/>
      <c r="L25" s="86"/>
      <c r="M25" s="113"/>
      <c r="N25" s="31" t="inlineStr">
        <is>
          <r>
            <t xml:space="preserve">부산 신항만</t>
          </r>
        </is>
      </c>
      <c r="O25" s="118" t="inlineStr">
        <is>
          <r>
            <t xml:space="preserve">부산</t>
          </r>
        </is>
      </c>
      <c r="P25" s="81" t="inlineStr">
        <is>
          <r>
            <t xml:space="preserve">HPNT (030-77-011)</t>
          </r>
        </is>
      </c>
      <c r="Q25" s="86"/>
      <c r="R25" s="28"/>
      <c r="S25" s="28" t="inlineStr">
        <is>
          <r>
            <t xml:space="preserve">HPNT (030-77-011)</t>
          </r>
        </is>
      </c>
      <c r="W25" s="105"/>
    </row>
    <row r="26" spans="1:23" customHeight="1" ht="33" s="105" customFormat="1">
      <c r="A26" s="106"/>
      <c r="B26" s="116"/>
      <c r="C26" s="117" t="inlineStr">
        <is>
          <r>
            <t xml:space="preserve"> </t>
          </r>
        </is>
      </c>
      <c r="D26" s="85"/>
      <c r="E26" s="85"/>
      <c r="F26" s="85"/>
      <c r="G26" s="85"/>
      <c r="H26" s="85"/>
      <c r="I26" s="85"/>
      <c r="J26" s="85"/>
      <c r="K26" s="85"/>
      <c r="L26" s="86"/>
      <c r="M26" s="113"/>
      <c r="N26" s="31" t="inlineStr">
        <is>
          <r>
            <t xml:space="preserve">부산신항터미널</t>
          </r>
        </is>
      </c>
      <c r="O26" s="118" t="inlineStr">
        <is>
          <r>
            <t xml:space="preserve">부산</t>
          </r>
        </is>
      </c>
      <c r="P26" s="81" t="inlineStr">
        <is>
          <r>
            <t xml:space="preserve">BNCT (030-77-026)</t>
          </r>
        </is>
      </c>
      <c r="Q26" s="86"/>
      <c r="S26" s="30" t="inlineStr">
        <is>
          <r>
            <t xml:space="preserve">BNCT (030-77-026)</t>
          </r>
        </is>
      </c>
      <c r="W26" s="105"/>
    </row>
    <row r="27" spans="1:23" customHeight="1" ht="27" s="105" customFormat="1">
      <c r="A27" s="106"/>
      <c r="B27" s="36">
        <v>3</v>
      </c>
      <c r="C27" s="107" t="inlineStr">
        <is>
          <r>
            <t xml:space="preserve">HYUNDAI</t>
          </r>
        </is>
      </c>
      <c r="D27" s="108" t="inlineStr">
        <is>
          <r>
            <t xml:space="preserve">GRAND STAREX</t>
          </r>
        </is>
      </c>
      <c r="E27" s="45">
        <v>2015</v>
      </c>
      <c r="F27" s="46" t="inlineStr">
        <is>
          <r>
            <t xml:space="preserve">KMJWA37KAFU680072</t>
          </r>
        </is>
      </c>
      <c r="G27" s="47">
        <v>1</v>
      </c>
      <c r="H27" s="109">
        <v>5100</v>
      </c>
      <c r="I27" s="44" t="str">
        <f>H27</f>
        <v>0</v>
      </c>
      <c r="J27" s="110">
        <v>2965</v>
      </c>
      <c r="K27" s="111"/>
      <c r="L27" s="112">
        <v>1075</v>
      </c>
      <c r="M27" s="14" t="str">
        <f>SUM(I27,L27)</f>
        <v>0</v>
      </c>
      <c r="N27" s="1"/>
      <c r="O27" s="7"/>
      <c r="P27" s="7"/>
      <c r="Q27" s="105"/>
      <c r="S27" s="29"/>
      <c r="U27" s="29"/>
      <c r="W27" s="105"/>
    </row>
    <row r="28" spans="1:23" customHeight="1" ht="23.25" s="105" customFormat="1">
      <c r="A28" s="106"/>
      <c r="B28" s="114"/>
      <c r="C28" s="71" t="inlineStr">
        <is>
          <r>
            <t xml:space="preserve">TYPE OF FUEL :</t>
          </r>
        </is>
      </c>
      <c r="D28" s="85"/>
      <c r="E28" s="48" t="inlineStr">
        <is>
          <r>
            <t xml:space="preserve"> DIESEL </t>
          </r>
        </is>
      </c>
      <c r="F28" s="72" t="inlineStr">
        <is>
          <r>
            <t xml:space="preserve">/    PISTON  DISPLACEMENT : </t>
          </r>
        </is>
      </c>
      <c r="G28" s="115">
        <v>2497</v>
      </c>
      <c r="I28" s="72"/>
      <c r="J28" s="68"/>
      <c r="K28" s="85"/>
      <c r="L28" s="86"/>
      <c r="M28" s="113"/>
      <c r="N28" s="1"/>
      <c r="O28" s="7"/>
      <c r="P28" s="7"/>
      <c r="Q28" s="105"/>
      <c r="W28" s="105"/>
    </row>
    <row r="29" spans="1:23" customHeight="1" ht="33" s="105" customFormat="1">
      <c r="A29" s="106"/>
      <c r="B29" s="116"/>
      <c r="C29" s="117" t="inlineStr">
        <is>
          <r>
            <t xml:space="preserve"> </t>
          </r>
        </is>
      </c>
      <c r="D29" s="85"/>
      <c r="E29" s="85"/>
      <c r="F29" s="85"/>
      <c r="G29" s="85"/>
      <c r="H29" s="85"/>
      <c r="I29" s="85"/>
      <c r="J29" s="85"/>
      <c r="K29" s="85"/>
      <c r="L29" s="86"/>
      <c r="M29" s="113"/>
      <c r="N29" s="1"/>
      <c r="O29" s="7"/>
      <c r="P29" s="7"/>
      <c r="Q29" s="105"/>
      <c r="W29" s="105"/>
    </row>
    <row r="30" spans="1:23" customHeight="1" ht="27" s="105" customFormat="1">
      <c r="A30" s="106"/>
      <c r="B30" s="36">
        <v>4</v>
      </c>
      <c r="C30" s="107" t="inlineStr">
        <is>
          <r>
            <t xml:space="preserve">HYUNDAI</t>
          </r>
        </is>
      </c>
      <c r="D30" s="108" t="inlineStr">
        <is>
          <r>
            <t xml:space="preserve">ACCENT</t>
          </r>
        </is>
      </c>
      <c r="E30" s="45">
        <v>2014</v>
      </c>
      <c r="F30" s="46" t="inlineStr">
        <is>
          <r>
            <t xml:space="preserve">KMHCS41UBEU687864</t>
          </r>
        </is>
      </c>
      <c r="G30" s="47">
        <v>1</v>
      </c>
      <c r="H30" s="109">
        <v>1600</v>
      </c>
      <c r="I30" s="44" t="str">
        <f>H30</f>
        <v>0</v>
      </c>
      <c r="J30" s="110">
        <v>1535</v>
      </c>
      <c r="K30" s="111"/>
      <c r="L30" s="112">
        <v>1075</v>
      </c>
      <c r="M30" s="14" t="str">
        <f>SUM(I30,L30)</f>
        <v>0</v>
      </c>
      <c r="N30" s="1"/>
      <c r="O30" s="7"/>
      <c r="P30" s="7"/>
      <c r="Q30" s="105"/>
      <c r="W30" s="105"/>
    </row>
    <row r="31" spans="1:23" customHeight="1" ht="23.25" s="105" customFormat="1">
      <c r="A31" s="106"/>
      <c r="B31" s="114"/>
      <c r="C31" s="71" t="inlineStr">
        <is>
          <r>
            <t xml:space="preserve">TYPE OF FUEL :</t>
          </r>
        </is>
      </c>
      <c r="D31" s="85"/>
      <c r="E31" s="48" t="inlineStr">
        <is>
          <r>
            <t xml:space="preserve"> DIESEL </t>
          </r>
        </is>
      </c>
      <c r="F31" s="72" t="inlineStr">
        <is>
          <r>
            <t xml:space="preserve">/    PISTON  DISPLACEMENT : </t>
          </r>
        </is>
      </c>
      <c r="G31" s="115">
        <v>1582</v>
      </c>
      <c r="I31" s="72"/>
      <c r="J31" s="68"/>
      <c r="K31" s="85"/>
      <c r="L31" s="86"/>
      <c r="M31" s="113"/>
      <c r="N31" s="1"/>
      <c r="O31" s="7"/>
      <c r="P31" s="7"/>
      <c r="Q31" s="105"/>
      <c r="W31" s="105"/>
    </row>
    <row r="32" spans="1:23" customHeight="1" ht="33" s="105" customFormat="1">
      <c r="A32" s="106"/>
      <c r="B32" s="116" t="inlineStr">
        <is>
          <r>
            <t xml:space="preserve"> </t>
          </r>
        </is>
      </c>
      <c r="C32" s="117" t="inlineStr">
        <is>
          <r>
            <t xml:space="preserve"> </t>
          </r>
        </is>
      </c>
      <c r="D32" s="85"/>
      <c r="E32" s="85"/>
      <c r="F32" s="85"/>
      <c r="G32" s="85"/>
      <c r="H32" s="85"/>
      <c r="I32" s="85"/>
      <c r="J32" s="85"/>
      <c r="K32" s="85"/>
      <c r="L32" s="86"/>
      <c r="M32" s="6"/>
      <c r="N32" s="1"/>
      <c r="O32" s="7"/>
      <c r="P32" s="7"/>
      <c r="Q32" s="105"/>
      <c r="W32" s="105"/>
    </row>
    <row r="33" spans="1:23" customHeight="1" ht="27" s="105" customFormat="1">
      <c r="A33" s="106"/>
      <c r="B33" s="36">
        <v>5</v>
      </c>
      <c r="C33" s="119"/>
      <c r="D33" s="120"/>
      <c r="E33" s="35"/>
      <c r="F33" s="34"/>
      <c r="G33" s="10"/>
      <c r="H33" s="121"/>
      <c r="I33" s="37" t="str">
        <f>H33</f>
        <v>0</v>
      </c>
      <c r="J33" s="122"/>
      <c r="K33" s="123"/>
      <c r="L33" s="124"/>
      <c r="M33" s="14" t="str">
        <f>SUM(I33,L33)</f>
        <v>0</v>
      </c>
      <c r="N33" s="1"/>
      <c r="O33" s="7"/>
      <c r="P33" s="7"/>
      <c r="Q33" s="105"/>
      <c r="W33" s="105"/>
    </row>
    <row r="34" spans="1:23" customHeight="1" ht="23.25" s="105" customFormat="1">
      <c r="A34" s="106"/>
      <c r="B34" s="114"/>
      <c r="C34" s="71" t="inlineStr">
        <is>
          <r>
            <t xml:space="preserve">TYPE OF FUEL :</t>
          </r>
        </is>
      </c>
      <c r="D34" s="85"/>
      <c r="E34" s="67"/>
      <c r="F34" s="72" t="inlineStr">
        <is>
          <r>
            <t xml:space="preserve">/    PISTON  DISPLACEMENT : </t>
          </r>
        </is>
      </c>
      <c r="G34" s="125"/>
      <c r="H34" s="105"/>
      <c r="I34" s="72"/>
      <c r="J34" s="68"/>
      <c r="K34" s="85"/>
      <c r="L34" s="86"/>
      <c r="M34" s="113"/>
      <c r="N34" s="1"/>
      <c r="O34" s="7"/>
      <c r="P34" s="7"/>
      <c r="Q34" s="105"/>
      <c r="W34" s="105"/>
    </row>
    <row r="35" spans="1:23" customHeight="1" ht="33" s="105" customFormat="1">
      <c r="A35" s="106"/>
      <c r="B35" s="116" t="inlineStr">
        <is>
          <r>
            <t xml:space="preserve"> </t>
          </r>
        </is>
      </c>
      <c r="C35" s="117" t="inlineStr">
        <is>
          <r>
            <t xml:space="preserve"> </t>
          </r>
        </is>
      </c>
      <c r="D35" s="85"/>
      <c r="E35" s="85"/>
      <c r="F35" s="85"/>
      <c r="G35" s="85"/>
      <c r="H35" s="85"/>
      <c r="I35" s="85"/>
      <c r="J35" s="85"/>
      <c r="K35" s="85"/>
      <c r="L35" s="86"/>
      <c r="M35" s="6"/>
      <c r="N35" s="1"/>
      <c r="O35" s="7"/>
      <c r="P35" s="7"/>
      <c r="Q35" s="105"/>
      <c r="W35" s="105"/>
    </row>
    <row r="36" spans="1:23" customHeight="1" ht="27">
      <c r="A36" s="106"/>
      <c r="B36" s="36">
        <v>6</v>
      </c>
      <c r="C36" s="119"/>
      <c r="D36" s="120"/>
      <c r="E36" s="35"/>
      <c r="F36" s="34"/>
      <c r="G36" s="10"/>
      <c r="H36" s="121"/>
      <c r="I36" s="37" t="str">
        <f>H36</f>
        <v>0</v>
      </c>
      <c r="J36" s="122"/>
      <c r="K36" s="123"/>
      <c r="L36" s="124"/>
      <c r="M36" s="14" t="str">
        <f>SUM(I36,L36)</f>
        <v>0</v>
      </c>
      <c r="N36" s="1"/>
      <c r="O36" s="7"/>
      <c r="P36" s="7"/>
      <c r="Q36" s="105"/>
      <c r="W36" s="105"/>
    </row>
    <row r="37" spans="1:23" customHeight="1" ht="23.25">
      <c r="A37" s="106"/>
      <c r="B37" s="114"/>
      <c r="C37" s="71" t="inlineStr">
        <is>
          <r>
            <t xml:space="preserve">TYPE OF FUEL :</t>
          </r>
        </is>
      </c>
      <c r="D37" s="85"/>
      <c r="E37" s="67"/>
      <c r="F37" s="72" t="inlineStr">
        <is>
          <r>
            <t xml:space="preserve">/    PISTON  DISPLACEMENT : </t>
          </r>
        </is>
      </c>
      <c r="G37" s="125"/>
      <c r="H37" s="105"/>
      <c r="I37" s="72"/>
      <c r="J37" s="68"/>
      <c r="K37" s="85"/>
      <c r="L37" s="86"/>
      <c r="M37" s="113"/>
      <c r="N37" s="1"/>
      <c r="O37" s="7"/>
      <c r="P37" s="7"/>
      <c r="Q37" s="105"/>
      <c r="W37" s="105"/>
    </row>
    <row r="38" spans="1:23" customHeight="1" ht="33">
      <c r="A38" s="106"/>
      <c r="B38" s="116" t="inlineStr">
        <is>
          <r>
            <t xml:space="preserve"> </t>
          </r>
        </is>
      </c>
      <c r="C38" s="117" t="inlineStr">
        <is>
          <r>
            <t xml:space="preserve"> </t>
          </r>
        </is>
      </c>
      <c r="D38" s="85"/>
      <c r="E38" s="85"/>
      <c r="F38" s="85"/>
      <c r="G38" s="85"/>
      <c r="H38" s="85"/>
      <c r="I38" s="85"/>
      <c r="J38" s="85"/>
      <c r="K38" s="85"/>
      <c r="L38" s="86"/>
      <c r="M38" s="6"/>
      <c r="N38" s="1"/>
      <c r="O38" s="7"/>
      <c r="P38" s="7"/>
      <c r="Q38" s="105"/>
      <c r="W38" s="105"/>
    </row>
    <row r="39" spans="1:23" customHeight="1" ht="27">
      <c r="A39" s="106"/>
      <c r="B39" s="36">
        <v>7</v>
      </c>
      <c r="C39" s="119"/>
      <c r="D39" s="120"/>
      <c r="E39" s="35"/>
      <c r="F39" s="34"/>
      <c r="G39" s="10"/>
      <c r="H39" s="121"/>
      <c r="I39" s="37" t="str">
        <f>H39</f>
        <v>0</v>
      </c>
      <c r="J39" s="122"/>
      <c r="K39" s="123"/>
      <c r="L39" s="124"/>
      <c r="M39" s="14" t="str">
        <f>SUM(I39,L39)</f>
        <v>0</v>
      </c>
      <c r="N39" s="1"/>
      <c r="O39" s="7"/>
      <c r="P39" s="7"/>
      <c r="Q39" s="105"/>
      <c r="W39" s="105"/>
    </row>
    <row r="40" spans="1:23" customHeight="1" ht="23.25">
      <c r="A40" s="106"/>
      <c r="B40" s="114"/>
      <c r="C40" s="71" t="inlineStr">
        <is>
          <r>
            <t xml:space="preserve">TYPE OF FUEL :</t>
          </r>
        </is>
      </c>
      <c r="D40" s="85"/>
      <c r="E40" s="67"/>
      <c r="F40" s="72" t="inlineStr">
        <is>
          <r>
            <t xml:space="preserve">/    PISTON  DISPLACEMENT : </t>
          </r>
        </is>
      </c>
      <c r="G40" s="125"/>
      <c r="H40" s="105"/>
      <c r="I40" s="72"/>
      <c r="J40" s="68"/>
      <c r="K40" s="85"/>
      <c r="L40" s="86"/>
      <c r="M40" s="113"/>
      <c r="N40" s="1"/>
      <c r="O40" s="7"/>
      <c r="P40" s="7"/>
      <c r="Q40" s="105"/>
      <c r="W40" s="105"/>
    </row>
    <row r="41" spans="1:23" customHeight="1" ht="33">
      <c r="A41" s="106"/>
      <c r="B41" s="116" t="inlineStr">
        <is>
          <r>
            <t xml:space="preserve"> </t>
          </r>
        </is>
      </c>
      <c r="C41" s="117" t="inlineStr">
        <is>
          <r>
            <t xml:space="preserve"> </t>
          </r>
        </is>
      </c>
      <c r="D41" s="85"/>
      <c r="E41" s="85"/>
      <c r="F41" s="85"/>
      <c r="G41" s="85"/>
      <c r="H41" s="85"/>
      <c r="I41" s="85"/>
      <c r="J41" s="85"/>
      <c r="K41" s="85"/>
      <c r="L41" s="86"/>
      <c r="M41" s="6"/>
      <c r="N41" s="1"/>
      <c r="O41" s="7"/>
      <c r="P41" s="7"/>
      <c r="Q41" s="105"/>
      <c r="W41" s="105"/>
    </row>
    <row r="42" spans="1:23" customHeight="1" ht="27">
      <c r="A42" s="106"/>
      <c r="B42" s="36">
        <v>8</v>
      </c>
      <c r="C42" s="119"/>
      <c r="D42" s="120"/>
      <c r="E42" s="35"/>
      <c r="F42" s="34"/>
      <c r="G42" s="10"/>
      <c r="H42" s="121"/>
      <c r="I42" s="37" t="str">
        <f>H42</f>
        <v>0</v>
      </c>
      <c r="J42" s="122"/>
      <c r="K42" s="123"/>
      <c r="L42" s="124"/>
      <c r="M42" s="14" t="str">
        <f>SUM(I42,L42)</f>
        <v>0</v>
      </c>
      <c r="N42" s="1"/>
      <c r="O42" s="7"/>
      <c r="P42" s="7"/>
      <c r="Q42" s="105"/>
      <c r="W42" s="105"/>
    </row>
    <row r="43" spans="1:23" customHeight="1" ht="23.25">
      <c r="A43" s="106"/>
      <c r="B43" s="114"/>
      <c r="C43" s="71" t="inlineStr">
        <is>
          <r>
            <t xml:space="preserve">TYPE OF FUEL :</t>
          </r>
        </is>
      </c>
      <c r="D43" s="85"/>
      <c r="E43" s="67"/>
      <c r="F43" s="72" t="inlineStr">
        <is>
          <r>
            <t xml:space="preserve">/    PISTON  DISPLACEMENT : </t>
          </r>
        </is>
      </c>
      <c r="G43" s="125"/>
      <c r="H43" s="105"/>
      <c r="I43" s="72"/>
      <c r="J43" s="68"/>
      <c r="K43" s="85"/>
      <c r="L43" s="86"/>
      <c r="M43" s="113"/>
      <c r="N43" s="1"/>
      <c r="O43" s="7"/>
      <c r="P43" s="7"/>
      <c r="Q43" s="105"/>
      <c r="W43" s="105"/>
    </row>
    <row r="44" spans="1:23" customHeight="1" ht="33">
      <c r="A44" s="106"/>
      <c r="B44" s="116" t="inlineStr">
        <is>
          <r>
            <t xml:space="preserve"> </t>
          </r>
        </is>
      </c>
      <c r="C44" s="117" t="inlineStr">
        <is>
          <r>
            <t xml:space="preserve"> </t>
          </r>
        </is>
      </c>
      <c r="D44" s="85"/>
      <c r="E44" s="85"/>
      <c r="F44" s="85"/>
      <c r="G44" s="85"/>
      <c r="H44" s="85"/>
      <c r="I44" s="85"/>
      <c r="J44" s="85"/>
      <c r="K44" s="85"/>
      <c r="L44" s="86"/>
      <c r="M44" s="6"/>
      <c r="N44" s="1"/>
      <c r="O44" s="7"/>
      <c r="P44" s="7"/>
      <c r="Q44" s="105"/>
      <c r="W44" s="105"/>
    </row>
    <row r="45" spans="1:23" customHeight="1" ht="27">
      <c r="A45" s="106"/>
      <c r="B45" s="36">
        <v>9</v>
      </c>
      <c r="C45" s="119"/>
      <c r="D45" s="120"/>
      <c r="E45" s="35"/>
      <c r="F45" s="34"/>
      <c r="G45" s="10"/>
      <c r="H45" s="121"/>
      <c r="I45" s="37" t="str">
        <f>H45</f>
        <v>0</v>
      </c>
      <c r="J45" s="122"/>
      <c r="K45" s="123"/>
      <c r="L45" s="124"/>
      <c r="M45" s="14" t="str">
        <f>SUM(I45,L45)</f>
        <v>0</v>
      </c>
      <c r="N45" s="1"/>
      <c r="O45" s="7"/>
      <c r="P45" s="7"/>
      <c r="Q45" s="105"/>
      <c r="W45" s="105"/>
    </row>
    <row r="46" spans="1:23" customHeight="1" ht="23.25">
      <c r="A46" s="106"/>
      <c r="B46" s="114"/>
      <c r="C46" s="71" t="inlineStr">
        <is>
          <r>
            <t xml:space="preserve">TYPE OF FUEL :</t>
          </r>
        </is>
      </c>
      <c r="D46" s="85"/>
      <c r="E46" s="67"/>
      <c r="F46" s="72" t="inlineStr">
        <is>
          <r>
            <t xml:space="preserve">/    PISTON  DISPLACEMENT : </t>
          </r>
        </is>
      </c>
      <c r="G46" s="125"/>
      <c r="H46" s="105"/>
      <c r="I46" s="72"/>
      <c r="J46" s="68"/>
      <c r="K46" s="85"/>
      <c r="L46" s="86"/>
      <c r="M46" s="113"/>
      <c r="N46" s="1"/>
      <c r="O46" s="7"/>
      <c r="P46" s="7"/>
      <c r="Q46" s="105"/>
      <c r="W46" s="105"/>
    </row>
    <row r="47" spans="1:23" customHeight="1" ht="33">
      <c r="A47" s="106"/>
      <c r="B47" s="116" t="inlineStr">
        <is>
          <r>
            <t xml:space="preserve"> </t>
          </r>
        </is>
      </c>
      <c r="C47" s="117" t="inlineStr">
        <is>
          <r>
            <t xml:space="preserve"> </t>
          </r>
        </is>
      </c>
      <c r="D47" s="85"/>
      <c r="E47" s="85"/>
      <c r="F47" s="85"/>
      <c r="G47" s="85"/>
      <c r="H47" s="85"/>
      <c r="I47" s="85"/>
      <c r="J47" s="85"/>
      <c r="K47" s="85"/>
      <c r="L47" s="86"/>
      <c r="M47" s="6"/>
      <c r="N47" s="1"/>
      <c r="O47" s="7"/>
      <c r="P47" s="7"/>
      <c r="Q47" s="105"/>
      <c r="W47" s="105"/>
    </row>
    <row r="48" spans="1:23" customHeight="1" ht="27">
      <c r="A48" s="106"/>
      <c r="B48" s="36">
        <v>10</v>
      </c>
      <c r="C48" s="119"/>
      <c r="D48" s="120"/>
      <c r="E48" s="35"/>
      <c r="F48" s="34"/>
      <c r="G48" s="10"/>
      <c r="H48" s="121"/>
      <c r="I48" s="37" t="str">
        <f>H48</f>
        <v>0</v>
      </c>
      <c r="J48" s="122"/>
      <c r="K48" s="123"/>
      <c r="L48" s="124"/>
      <c r="M48" s="14" t="str">
        <f>SUM(I48,L48)</f>
        <v>0</v>
      </c>
      <c r="N48" s="1"/>
      <c r="O48" s="7"/>
      <c r="P48" s="7"/>
      <c r="Q48" s="105"/>
      <c r="W48" s="105"/>
    </row>
    <row r="49" spans="1:23" customHeight="1" ht="23.25">
      <c r="A49" s="106"/>
      <c r="B49" s="114"/>
      <c r="C49" s="71" t="inlineStr">
        <is>
          <r>
            <t xml:space="preserve">TYPE OF FUEL :</t>
          </r>
        </is>
      </c>
      <c r="D49" s="85"/>
      <c r="E49" s="67"/>
      <c r="F49" s="72" t="inlineStr">
        <is>
          <r>
            <t xml:space="preserve">/    PISTON  DISPLACEMENT : </t>
          </r>
        </is>
      </c>
      <c r="G49" s="125"/>
      <c r="H49" s="105"/>
      <c r="I49" s="72"/>
      <c r="J49" s="68"/>
      <c r="K49" s="85"/>
      <c r="L49" s="86"/>
      <c r="M49" s="113"/>
      <c r="N49" s="1"/>
      <c r="O49" s="7"/>
      <c r="P49" s="7"/>
      <c r="Q49" s="105"/>
      <c r="W49" s="105"/>
    </row>
    <row r="50" spans="1:23" customHeight="1" ht="33">
      <c r="A50" s="106"/>
      <c r="B50" s="116" t="inlineStr">
        <is>
          <r>
            <t xml:space="preserve"> </t>
          </r>
        </is>
      </c>
      <c r="C50" s="117" t="inlineStr">
        <is>
          <r>
            <t xml:space="preserve"> </t>
          </r>
        </is>
      </c>
      <c r="D50" s="85"/>
      <c r="E50" s="85"/>
      <c r="F50" s="85"/>
      <c r="G50" s="85"/>
      <c r="H50" s="85"/>
      <c r="I50" s="85"/>
      <c r="J50" s="85"/>
      <c r="K50" s="85"/>
      <c r="L50" s="86"/>
      <c r="M50" s="6"/>
      <c r="N50" s="1"/>
      <c r="O50" s="7"/>
      <c r="P50" s="7"/>
      <c r="Q50" s="105"/>
      <c r="W50" s="105"/>
    </row>
    <row r="51" spans="1:23" customHeight="1" ht="27">
      <c r="A51" s="106"/>
      <c r="B51" s="36">
        <v>11</v>
      </c>
      <c r="C51" s="119"/>
      <c r="D51" s="120"/>
      <c r="E51" s="35"/>
      <c r="F51" s="34"/>
      <c r="G51" s="10"/>
      <c r="H51" s="121"/>
      <c r="I51" s="37" t="str">
        <f>H51</f>
        <v>0</v>
      </c>
      <c r="J51" s="122"/>
      <c r="K51" s="123"/>
      <c r="L51" s="124"/>
      <c r="M51" s="14" t="str">
        <f>SUM(I51,L51)</f>
        <v>0</v>
      </c>
      <c r="N51" s="1"/>
      <c r="O51" s="7"/>
      <c r="P51" s="7"/>
      <c r="Q51" s="105"/>
      <c r="W51" s="105"/>
    </row>
    <row r="52" spans="1:23" customHeight="1" ht="23.25">
      <c r="A52" s="106"/>
      <c r="B52" s="114"/>
      <c r="C52" s="71" t="inlineStr">
        <is>
          <r>
            <t xml:space="preserve">TYPE OF FUEL :</t>
          </r>
        </is>
      </c>
      <c r="D52" s="85"/>
      <c r="E52" s="67"/>
      <c r="F52" s="72" t="inlineStr">
        <is>
          <r>
            <t xml:space="preserve">/    PISTON  DISPLACEMENT : </t>
          </r>
        </is>
      </c>
      <c r="G52" s="125"/>
      <c r="H52" s="105"/>
      <c r="I52" s="72"/>
      <c r="J52" s="68"/>
      <c r="K52" s="85"/>
      <c r="L52" s="86"/>
      <c r="M52" s="113"/>
      <c r="N52" s="1"/>
      <c r="O52" s="7"/>
      <c r="P52" s="7"/>
      <c r="Q52" s="105"/>
      <c r="W52" s="105"/>
    </row>
    <row r="53" spans="1:23" customHeight="1" ht="33">
      <c r="A53" s="106"/>
      <c r="B53" s="116" t="inlineStr">
        <is>
          <r>
            <t xml:space="preserve"> </t>
          </r>
        </is>
      </c>
      <c r="C53" s="117" t="inlineStr">
        <is>
          <r>
            <t xml:space="preserve"> </t>
          </r>
        </is>
      </c>
      <c r="D53" s="85"/>
      <c r="E53" s="85"/>
      <c r="F53" s="85"/>
      <c r="G53" s="85"/>
      <c r="H53" s="85"/>
      <c r="I53" s="85"/>
      <c r="J53" s="85"/>
      <c r="K53" s="85"/>
      <c r="L53" s="86"/>
      <c r="M53" s="6"/>
      <c r="N53" s="1"/>
      <c r="O53" s="7"/>
      <c r="P53" s="7"/>
      <c r="Q53" s="105"/>
      <c r="W53" s="105"/>
    </row>
    <row r="54" spans="1:23" customHeight="1" ht="27">
      <c r="A54" s="106"/>
      <c r="B54" s="36">
        <v>12</v>
      </c>
      <c r="C54" s="119"/>
      <c r="D54" s="120"/>
      <c r="E54" s="35"/>
      <c r="F54" s="34"/>
      <c r="G54" s="10"/>
      <c r="H54" s="121"/>
      <c r="I54" s="37" t="str">
        <f>H54</f>
        <v>0</v>
      </c>
      <c r="J54" s="122"/>
      <c r="K54" s="123"/>
      <c r="L54" s="124"/>
      <c r="M54" s="14" t="str">
        <f>SUM(I54,L54)</f>
        <v>0</v>
      </c>
      <c r="N54" s="1"/>
      <c r="O54" s="7"/>
      <c r="P54" s="7"/>
      <c r="Q54" s="105"/>
      <c r="W54" s="105"/>
    </row>
    <row r="55" spans="1:23" customHeight="1" ht="23.25">
      <c r="A55" s="106"/>
      <c r="B55" s="114"/>
      <c r="C55" s="71" t="inlineStr">
        <is>
          <r>
            <t xml:space="preserve">TYPE OF FUEL :</t>
          </r>
        </is>
      </c>
      <c r="D55" s="85"/>
      <c r="E55" s="67"/>
      <c r="F55" s="72" t="inlineStr">
        <is>
          <r>
            <t xml:space="preserve">/    PISTON  DISPLACEMENT : </t>
          </r>
        </is>
      </c>
      <c r="G55" s="125"/>
      <c r="H55" s="105"/>
      <c r="I55" s="72"/>
      <c r="J55" s="68"/>
      <c r="K55" s="85"/>
      <c r="L55" s="86"/>
      <c r="M55" s="113"/>
      <c r="N55" s="1"/>
      <c r="O55" s="7"/>
      <c r="P55" s="7"/>
      <c r="Q55" s="105"/>
      <c r="W55" s="105"/>
    </row>
    <row r="56" spans="1:23" customHeight="1" ht="33">
      <c r="A56" s="106"/>
      <c r="B56" s="116" t="inlineStr">
        <is>
          <r>
            <t xml:space="preserve"> </t>
          </r>
        </is>
      </c>
      <c r="C56" s="117" t="inlineStr">
        <is>
          <r>
            <t xml:space="preserve"> </t>
          </r>
        </is>
      </c>
      <c r="D56" s="85"/>
      <c r="E56" s="85"/>
      <c r="F56" s="85"/>
      <c r="G56" s="85"/>
      <c r="H56" s="85"/>
      <c r="I56" s="85"/>
      <c r="J56" s="85"/>
      <c r="K56" s="85"/>
      <c r="L56" s="86"/>
      <c r="M56" s="6"/>
      <c r="N56" s="1"/>
      <c r="O56" s="7"/>
      <c r="P56" s="7"/>
      <c r="Q56" s="105"/>
      <c r="W56" s="105"/>
    </row>
    <row r="57" spans="1:23" customHeight="1" ht="27">
      <c r="A57" s="106"/>
      <c r="B57" s="36">
        <v>13</v>
      </c>
      <c r="C57" s="119"/>
      <c r="D57" s="120"/>
      <c r="E57" s="35"/>
      <c r="F57" s="34"/>
      <c r="G57" s="10"/>
      <c r="H57" s="121"/>
      <c r="I57" s="37" t="str">
        <f>H57</f>
        <v>0</v>
      </c>
      <c r="J57" s="122"/>
      <c r="K57" s="123"/>
      <c r="L57" s="124"/>
      <c r="M57" s="14" t="str">
        <f>SUM(I57,L57)</f>
        <v>0</v>
      </c>
      <c r="N57" s="1"/>
      <c r="O57" s="7"/>
      <c r="P57" s="7"/>
      <c r="Q57" s="105"/>
      <c r="W57" s="105"/>
    </row>
    <row r="58" spans="1:23" customHeight="1" ht="23.25">
      <c r="A58" s="106"/>
      <c r="B58" s="114"/>
      <c r="C58" s="71" t="inlineStr">
        <is>
          <r>
            <t xml:space="preserve">TYPE OF FUEL :</t>
          </r>
        </is>
      </c>
      <c r="D58" s="85"/>
      <c r="E58" s="67"/>
      <c r="F58" s="72" t="inlineStr">
        <is>
          <r>
            <t xml:space="preserve">/    PISTON  DISPLACEMENT : </t>
          </r>
        </is>
      </c>
      <c r="G58" s="125"/>
      <c r="H58" s="105"/>
      <c r="I58" s="72"/>
      <c r="J58" s="68"/>
      <c r="K58" s="85"/>
      <c r="L58" s="86"/>
      <c r="M58" s="113"/>
      <c r="N58" s="1"/>
      <c r="O58" s="7"/>
      <c r="P58" s="7"/>
      <c r="Q58" s="105"/>
      <c r="W58" s="105"/>
    </row>
    <row r="59" spans="1:23" customHeight="1" ht="33">
      <c r="A59" s="106"/>
      <c r="B59" s="116" t="inlineStr">
        <is>
          <r>
            <t xml:space="preserve"> </t>
          </r>
        </is>
      </c>
      <c r="C59" s="117" t="inlineStr">
        <is>
          <r>
            <t xml:space="preserve"> </t>
          </r>
        </is>
      </c>
      <c r="D59" s="85"/>
      <c r="E59" s="85"/>
      <c r="F59" s="85"/>
      <c r="G59" s="85"/>
      <c r="H59" s="85"/>
      <c r="I59" s="85"/>
      <c r="J59" s="85"/>
      <c r="K59" s="85"/>
      <c r="L59" s="86"/>
      <c r="M59" s="6"/>
      <c r="N59" s="1"/>
      <c r="O59" s="7"/>
      <c r="P59" s="7"/>
      <c r="Q59" s="105"/>
      <c r="W59" s="105"/>
    </row>
    <row r="60" spans="1:23" customHeight="1" ht="27">
      <c r="A60" s="106"/>
      <c r="B60" s="36">
        <v>14</v>
      </c>
      <c r="C60" s="119"/>
      <c r="D60" s="120"/>
      <c r="E60" s="35"/>
      <c r="F60" s="34"/>
      <c r="G60" s="10"/>
      <c r="H60" s="121"/>
      <c r="I60" s="37" t="str">
        <f>H60</f>
        <v>0</v>
      </c>
      <c r="J60" s="122"/>
      <c r="K60" s="123"/>
      <c r="L60" s="124"/>
      <c r="M60" s="14" t="str">
        <f>SUM(I60,L60)</f>
        <v>0</v>
      </c>
      <c r="N60" s="1"/>
      <c r="O60" s="7"/>
      <c r="P60" s="7"/>
      <c r="Q60" s="105"/>
      <c r="W60" s="105"/>
    </row>
    <row r="61" spans="1:23" customHeight="1" ht="23.25">
      <c r="A61" s="106"/>
      <c r="B61" s="114"/>
      <c r="C61" s="71" t="inlineStr">
        <is>
          <r>
            <t xml:space="preserve">TYPE OF FUEL :</t>
          </r>
        </is>
      </c>
      <c r="D61" s="85"/>
      <c r="E61" s="67"/>
      <c r="F61" s="72" t="inlineStr">
        <is>
          <r>
            <t xml:space="preserve">/    PISTON  DISPLACEMENT : </t>
          </r>
        </is>
      </c>
      <c r="G61" s="125"/>
      <c r="H61" s="105"/>
      <c r="I61" s="72"/>
      <c r="J61" s="68"/>
      <c r="K61" s="85"/>
      <c r="L61" s="86"/>
      <c r="M61" s="113"/>
      <c r="N61" s="1"/>
      <c r="O61" s="7"/>
      <c r="P61" s="7"/>
      <c r="Q61" s="105"/>
      <c r="W61" s="105"/>
    </row>
    <row r="62" spans="1:23" customHeight="1" ht="33">
      <c r="A62" s="106"/>
      <c r="B62" s="116" t="inlineStr">
        <is>
          <r>
            <t xml:space="preserve"> </t>
          </r>
        </is>
      </c>
      <c r="C62" s="117" t="inlineStr">
        <is>
          <r>
            <t xml:space="preserve"> </t>
          </r>
        </is>
      </c>
      <c r="D62" s="85"/>
      <c r="E62" s="85"/>
      <c r="F62" s="85"/>
      <c r="G62" s="85"/>
      <c r="H62" s="85"/>
      <c r="I62" s="85"/>
      <c r="J62" s="85"/>
      <c r="K62" s="85"/>
      <c r="L62" s="86"/>
      <c r="M62" s="6"/>
      <c r="N62" s="1"/>
      <c r="O62" s="7"/>
      <c r="P62" s="7"/>
      <c r="Q62" s="105"/>
      <c r="W62" s="105"/>
    </row>
    <row r="63" spans="1:23" customHeight="1" ht="27">
      <c r="A63" s="106"/>
      <c r="B63" s="36">
        <v>15</v>
      </c>
      <c r="C63" s="119"/>
      <c r="D63" s="120"/>
      <c r="E63" s="35"/>
      <c r="F63" s="34"/>
      <c r="G63" s="10"/>
      <c r="H63" s="121"/>
      <c r="I63" s="37" t="str">
        <f>H63</f>
        <v>0</v>
      </c>
      <c r="J63" s="122"/>
      <c r="K63" s="123"/>
      <c r="L63" s="124"/>
      <c r="M63" s="14" t="str">
        <f>SUM(I63,L63)</f>
        <v>0</v>
      </c>
      <c r="N63" s="1"/>
      <c r="O63" s="7"/>
      <c r="P63" s="7"/>
      <c r="Q63" s="105"/>
      <c r="W63" s="105"/>
    </row>
    <row r="64" spans="1:23" customHeight="1" ht="23.25">
      <c r="A64" s="106"/>
      <c r="B64" s="114"/>
      <c r="C64" s="71" t="inlineStr">
        <is>
          <r>
            <t xml:space="preserve">TYPE OF FUEL :</t>
          </r>
        </is>
      </c>
      <c r="D64" s="85"/>
      <c r="E64" s="67"/>
      <c r="F64" s="72" t="inlineStr">
        <is>
          <r>
            <t xml:space="preserve">/    PISTON  DISPLACEMENT : </t>
          </r>
        </is>
      </c>
      <c r="G64" s="125"/>
      <c r="H64" s="105"/>
      <c r="I64" s="72"/>
      <c r="J64" s="68"/>
      <c r="K64" s="85"/>
      <c r="L64" s="86"/>
      <c r="M64" s="113"/>
      <c r="N64" s="1"/>
      <c r="O64" s="7"/>
      <c r="P64" s="7"/>
      <c r="Q64" s="105"/>
      <c r="W64" s="105"/>
    </row>
    <row r="65" spans="1:23" customHeight="1" ht="33">
      <c r="A65" s="106"/>
      <c r="B65" s="116" t="inlineStr">
        <is>
          <r>
            <t xml:space="preserve"> </t>
          </r>
        </is>
      </c>
      <c r="C65" s="117" t="inlineStr">
        <is>
          <r>
            <t xml:space="preserve"> </t>
          </r>
        </is>
      </c>
      <c r="D65" s="85"/>
      <c r="E65" s="85"/>
      <c r="F65" s="85"/>
      <c r="G65" s="85"/>
      <c r="H65" s="85"/>
      <c r="I65" s="85"/>
      <c r="J65" s="85"/>
      <c r="K65" s="85"/>
      <c r="L65" s="86"/>
      <c r="M65" s="6"/>
      <c r="N65" s="1"/>
      <c r="O65" s="7"/>
      <c r="P65" s="7"/>
      <c r="Q65" s="105"/>
      <c r="W65" s="105"/>
    </row>
    <row r="66" spans="1:23" customHeight="1" ht="27">
      <c r="A66" s="106"/>
      <c r="B66" s="36">
        <v>16</v>
      </c>
      <c r="C66" s="119"/>
      <c r="D66" s="120"/>
      <c r="E66" s="35"/>
      <c r="F66" s="34"/>
      <c r="G66" s="10"/>
      <c r="H66" s="121"/>
      <c r="I66" s="37" t="str">
        <f>H66</f>
        <v>0</v>
      </c>
      <c r="J66" s="122"/>
      <c r="K66" s="123"/>
      <c r="L66" s="124"/>
      <c r="M66" s="14" t="str">
        <f>SUM(I66,L66)</f>
        <v>0</v>
      </c>
      <c r="N66" s="1"/>
      <c r="O66" s="7"/>
      <c r="P66" s="7"/>
      <c r="Q66" s="105"/>
      <c r="W66" s="105"/>
    </row>
    <row r="67" spans="1:23" customHeight="1" ht="23.25">
      <c r="A67" s="106"/>
      <c r="B67" s="114"/>
      <c r="C67" s="71" t="inlineStr">
        <is>
          <r>
            <t xml:space="preserve">TYPE OF FUEL :</t>
          </r>
        </is>
      </c>
      <c r="D67" s="85"/>
      <c r="E67" s="67"/>
      <c r="F67" s="72" t="inlineStr">
        <is>
          <r>
            <t xml:space="preserve">/    PISTON  DISPLACEMENT : </t>
          </r>
        </is>
      </c>
      <c r="G67" s="125"/>
      <c r="H67" s="105"/>
      <c r="I67" s="72"/>
      <c r="J67" s="68"/>
      <c r="K67" s="85"/>
      <c r="L67" s="86"/>
      <c r="M67" s="113"/>
      <c r="N67" s="1"/>
      <c r="O67" s="7"/>
      <c r="P67" s="7"/>
      <c r="Q67" s="105"/>
      <c r="W67" s="105"/>
    </row>
    <row r="68" spans="1:23" customHeight="1" ht="33">
      <c r="A68" s="106"/>
      <c r="B68" s="116" t="inlineStr">
        <is>
          <r>
            <t xml:space="preserve"> </t>
          </r>
        </is>
      </c>
      <c r="C68" s="117" t="inlineStr">
        <is>
          <r>
            <t xml:space="preserve"> </t>
          </r>
        </is>
      </c>
      <c r="D68" s="85"/>
      <c r="E68" s="85"/>
      <c r="F68" s="85"/>
      <c r="G68" s="85"/>
      <c r="H68" s="85"/>
      <c r="I68" s="85"/>
      <c r="J68" s="85"/>
      <c r="K68" s="85"/>
      <c r="L68" s="86"/>
      <c r="M68" s="6"/>
      <c r="N68" s="1"/>
      <c r="O68" s="7"/>
      <c r="P68" s="7"/>
      <c r="Q68" s="105"/>
      <c r="W68" s="105"/>
    </row>
    <row r="69" spans="1:23" customHeight="1" ht="27">
      <c r="A69" s="106"/>
      <c r="B69" s="36">
        <v>17</v>
      </c>
      <c r="C69" s="119"/>
      <c r="D69" s="120"/>
      <c r="E69" s="35"/>
      <c r="F69" s="34"/>
      <c r="G69" s="10"/>
      <c r="H69" s="121"/>
      <c r="I69" s="37" t="str">
        <f>H69</f>
        <v>0</v>
      </c>
      <c r="J69" s="122"/>
      <c r="K69" s="123"/>
      <c r="L69" s="124"/>
      <c r="M69" s="14" t="str">
        <f>SUM(I69,L69)</f>
        <v>0</v>
      </c>
      <c r="N69" s="1"/>
      <c r="O69" s="7"/>
      <c r="P69" s="7"/>
      <c r="Q69" s="105"/>
      <c r="W69" s="105"/>
    </row>
    <row r="70" spans="1:23" customHeight="1" ht="23.25">
      <c r="A70" s="106"/>
      <c r="B70" s="114"/>
      <c r="C70" s="71" t="inlineStr">
        <is>
          <r>
            <t xml:space="preserve">TYPE OF FUEL :</t>
          </r>
        </is>
      </c>
      <c r="D70" s="85"/>
      <c r="E70" s="67"/>
      <c r="F70" s="72" t="inlineStr">
        <is>
          <r>
            <t xml:space="preserve">/    PISTON  DISPLACEMENT : </t>
          </r>
        </is>
      </c>
      <c r="G70" s="125"/>
      <c r="H70" s="105"/>
      <c r="I70" s="72"/>
      <c r="J70" s="68"/>
      <c r="K70" s="85"/>
      <c r="L70" s="86"/>
      <c r="M70" s="113"/>
      <c r="N70" s="1"/>
      <c r="O70" s="7"/>
      <c r="P70" s="7"/>
      <c r="Q70" s="105"/>
      <c r="W70" s="105"/>
    </row>
    <row r="71" spans="1:23" customHeight="1" ht="33">
      <c r="A71" s="106"/>
      <c r="B71" s="116" t="inlineStr">
        <is>
          <r>
            <t xml:space="preserve"> </t>
          </r>
        </is>
      </c>
      <c r="C71" s="117" t="inlineStr">
        <is>
          <r>
            <t xml:space="preserve"> </t>
          </r>
        </is>
      </c>
      <c r="D71" s="85"/>
      <c r="E71" s="85"/>
      <c r="F71" s="85"/>
      <c r="G71" s="85"/>
      <c r="H71" s="85"/>
      <c r="I71" s="85"/>
      <c r="J71" s="85"/>
      <c r="K71" s="85"/>
      <c r="L71" s="86"/>
      <c r="M71" s="6"/>
      <c r="N71" s="1"/>
      <c r="O71" s="7"/>
      <c r="P71" s="7"/>
      <c r="Q71" s="105"/>
      <c r="W71" s="105"/>
    </row>
    <row r="72" spans="1:23" customHeight="1" ht="27">
      <c r="A72" s="106"/>
      <c r="B72" s="36">
        <v>18</v>
      </c>
      <c r="C72" s="119"/>
      <c r="D72" s="120"/>
      <c r="E72" s="35"/>
      <c r="F72" s="34"/>
      <c r="G72" s="10"/>
      <c r="H72" s="121"/>
      <c r="I72" s="37" t="str">
        <f>H72</f>
        <v>0</v>
      </c>
      <c r="J72" s="122"/>
      <c r="K72" s="123"/>
      <c r="L72" s="124"/>
      <c r="M72" s="14" t="str">
        <f>SUM(I72,L72)</f>
        <v>0</v>
      </c>
      <c r="N72" s="1"/>
      <c r="O72" s="7"/>
      <c r="P72" s="7"/>
      <c r="Q72" s="105"/>
      <c r="W72" s="105"/>
    </row>
    <row r="73" spans="1:23" customHeight="1" ht="23.25">
      <c r="A73" s="106"/>
      <c r="B73" s="114"/>
      <c r="C73" s="71" t="inlineStr">
        <is>
          <r>
            <t xml:space="preserve">TYPE OF FUEL :</t>
          </r>
        </is>
      </c>
      <c r="D73" s="85"/>
      <c r="E73" s="67"/>
      <c r="F73" s="72" t="inlineStr">
        <is>
          <r>
            <t xml:space="preserve">/    PISTON  DISPLACEMENT : </t>
          </r>
        </is>
      </c>
      <c r="G73" s="125"/>
      <c r="H73" s="105"/>
      <c r="I73" s="72"/>
      <c r="J73" s="68"/>
      <c r="K73" s="85"/>
      <c r="L73" s="86"/>
      <c r="M73" s="113"/>
      <c r="N73" s="1"/>
      <c r="O73" s="7"/>
      <c r="P73" s="7"/>
      <c r="Q73" s="105"/>
      <c r="W73" s="105"/>
    </row>
    <row r="74" spans="1:23" customHeight="1" ht="33">
      <c r="A74" s="106"/>
      <c r="B74" s="116" t="inlineStr">
        <is>
          <r>
            <t xml:space="preserve"> </t>
          </r>
        </is>
      </c>
      <c r="C74" s="117" t="inlineStr">
        <is>
          <r>
            <t xml:space="preserve"> </t>
          </r>
        </is>
      </c>
      <c r="D74" s="85"/>
      <c r="E74" s="85"/>
      <c r="F74" s="85"/>
      <c r="G74" s="85"/>
      <c r="H74" s="85"/>
      <c r="I74" s="85"/>
      <c r="J74" s="85"/>
      <c r="K74" s="85"/>
      <c r="L74" s="86"/>
      <c r="M74" s="6"/>
      <c r="N74" s="1"/>
      <c r="O74" s="7"/>
      <c r="P74" s="7"/>
      <c r="Q74" s="105"/>
      <c r="W74" s="105"/>
    </row>
    <row r="75" spans="1:23" customHeight="1" ht="27">
      <c r="A75" s="106"/>
      <c r="B75" s="36">
        <v>19</v>
      </c>
      <c r="C75" s="119"/>
      <c r="D75" s="120"/>
      <c r="E75" s="35"/>
      <c r="F75" s="34"/>
      <c r="G75" s="10"/>
      <c r="H75" s="121"/>
      <c r="I75" s="37" t="str">
        <f>H75</f>
        <v>0</v>
      </c>
      <c r="J75" s="122"/>
      <c r="K75" s="123"/>
      <c r="L75" s="124"/>
      <c r="M75" s="14" t="str">
        <f>SUM(I75,L75)</f>
        <v>0</v>
      </c>
      <c r="N75" s="1"/>
      <c r="O75" s="7"/>
      <c r="P75" s="7"/>
      <c r="Q75" s="105"/>
      <c r="W75" s="105"/>
    </row>
    <row r="76" spans="1:23" customHeight="1" ht="23.25">
      <c r="A76" s="106"/>
      <c r="B76" s="114"/>
      <c r="C76" s="71" t="inlineStr">
        <is>
          <r>
            <t xml:space="preserve">TYPE OF FUEL :</t>
          </r>
        </is>
      </c>
      <c r="D76" s="85"/>
      <c r="E76" s="67"/>
      <c r="F76" s="72" t="inlineStr">
        <is>
          <r>
            <t xml:space="preserve">/    PISTON  DISPLACEMENT : </t>
          </r>
        </is>
      </c>
      <c r="G76" s="125"/>
      <c r="H76" s="105"/>
      <c r="I76" s="72"/>
      <c r="J76" s="68"/>
      <c r="K76" s="85"/>
      <c r="L76" s="86"/>
      <c r="M76" s="113"/>
      <c r="N76" s="1"/>
      <c r="O76" s="7"/>
      <c r="P76" s="7"/>
      <c r="Q76" s="105"/>
      <c r="W76" s="105"/>
    </row>
    <row r="77" spans="1:23" customHeight="1" ht="33">
      <c r="A77" s="106"/>
      <c r="B77" s="116" t="inlineStr">
        <is>
          <r>
            <t xml:space="preserve"> </t>
          </r>
        </is>
      </c>
      <c r="C77" s="117" t="inlineStr">
        <is>
          <r>
            <t xml:space="preserve"> </t>
          </r>
        </is>
      </c>
      <c r="D77" s="85"/>
      <c r="E77" s="85"/>
      <c r="F77" s="85"/>
      <c r="G77" s="85"/>
      <c r="H77" s="85"/>
      <c r="I77" s="85"/>
      <c r="J77" s="85"/>
      <c r="K77" s="85"/>
      <c r="L77" s="86"/>
      <c r="M77" s="6"/>
      <c r="N77" s="1"/>
      <c r="O77" s="7"/>
      <c r="P77" s="7"/>
      <c r="Q77" s="105"/>
      <c r="W77" s="105"/>
    </row>
    <row r="78" spans="1:23" customHeight="1" ht="27">
      <c r="A78" s="106"/>
      <c r="B78" s="36">
        <v>20</v>
      </c>
      <c r="C78" s="119"/>
      <c r="D78" s="120"/>
      <c r="E78" s="35"/>
      <c r="F78" s="34"/>
      <c r="G78" s="10"/>
      <c r="H78" s="121"/>
      <c r="I78" s="37" t="str">
        <f>H78</f>
        <v>0</v>
      </c>
      <c r="J78" s="122"/>
      <c r="K78" s="123"/>
      <c r="L78" s="124"/>
      <c r="M78" s="14" t="str">
        <f>SUM(I78,L78)</f>
        <v>0</v>
      </c>
      <c r="N78" s="1"/>
      <c r="O78" s="7"/>
      <c r="P78" s="7"/>
      <c r="Q78" s="105"/>
      <c r="W78" s="105"/>
    </row>
    <row r="79" spans="1:23" customHeight="1" ht="23.25">
      <c r="A79" s="106"/>
      <c r="B79" s="114"/>
      <c r="C79" s="71" t="inlineStr">
        <is>
          <r>
            <t xml:space="preserve">TYPE OF FUEL :</t>
          </r>
        </is>
      </c>
      <c r="D79" s="85"/>
      <c r="E79" s="67"/>
      <c r="F79" s="72" t="inlineStr">
        <is>
          <r>
            <t xml:space="preserve">/    PISTON  DISPLACEMENT : </t>
          </r>
        </is>
      </c>
      <c r="G79" s="125"/>
      <c r="H79" s="105"/>
      <c r="I79" s="72"/>
      <c r="J79" s="68"/>
      <c r="K79" s="85"/>
      <c r="L79" s="86"/>
      <c r="M79" s="113"/>
      <c r="N79" s="1"/>
      <c r="O79" s="7"/>
      <c r="P79" s="7"/>
      <c r="Q79" s="105"/>
      <c r="W79" s="105"/>
    </row>
    <row r="80" spans="1:23" customHeight="1" ht="33">
      <c r="A80" s="106"/>
      <c r="B80" s="116" t="inlineStr">
        <is>
          <r>
            <t xml:space="preserve"> </t>
          </r>
        </is>
      </c>
      <c r="C80" s="117" t="inlineStr">
        <is>
          <r>
            <t xml:space="preserve"> </t>
          </r>
        </is>
      </c>
      <c r="D80" s="85"/>
      <c r="E80" s="85"/>
      <c r="F80" s="85"/>
      <c r="G80" s="85"/>
      <c r="H80" s="85"/>
      <c r="I80" s="85"/>
      <c r="J80" s="85"/>
      <c r="K80" s="85"/>
      <c r="L80" s="86"/>
      <c r="M80" s="6"/>
      <c r="N80" s="1"/>
      <c r="O80" s="7"/>
      <c r="P80" s="7"/>
      <c r="Q80" s="105"/>
      <c r="W80" s="105"/>
    </row>
    <row r="81" spans="1:23" customHeight="1" ht="27">
      <c r="A81" s="106"/>
      <c r="B81" s="36">
        <v>21</v>
      </c>
      <c r="C81" s="119"/>
      <c r="D81" s="120"/>
      <c r="E81" s="35"/>
      <c r="F81" s="34"/>
      <c r="G81" s="10"/>
      <c r="H81" s="121"/>
      <c r="I81" s="37" t="str">
        <f>H81</f>
        <v>0</v>
      </c>
      <c r="J81" s="122"/>
      <c r="K81" s="123"/>
      <c r="L81" s="124"/>
      <c r="M81" s="14" t="str">
        <f>SUM(I81,L81)</f>
        <v>0</v>
      </c>
      <c r="N81" s="1"/>
      <c r="O81" s="7"/>
      <c r="P81" s="7"/>
      <c r="Q81" s="105"/>
      <c r="W81" s="105"/>
    </row>
    <row r="82" spans="1:23" customHeight="1" ht="23.25">
      <c r="A82" s="106"/>
      <c r="B82" s="114"/>
      <c r="C82" s="71" t="inlineStr">
        <is>
          <r>
            <t xml:space="preserve">TYPE OF FUEL :</t>
          </r>
        </is>
      </c>
      <c r="D82" s="85"/>
      <c r="E82" s="67"/>
      <c r="F82" s="72" t="inlineStr">
        <is>
          <r>
            <t xml:space="preserve">/    PISTON  DISPLACEMENT : </t>
          </r>
        </is>
      </c>
      <c r="G82" s="125"/>
      <c r="H82" s="105"/>
      <c r="I82" s="72"/>
      <c r="J82" s="68"/>
      <c r="K82" s="85"/>
      <c r="L82" s="86"/>
      <c r="M82" s="113"/>
      <c r="N82" s="1"/>
      <c r="O82" s="7"/>
      <c r="P82" s="7"/>
      <c r="Q82" s="105"/>
      <c r="W82" s="105"/>
    </row>
    <row r="83" spans="1:23" customHeight="1" ht="33">
      <c r="A83" s="106"/>
      <c r="B83" s="116" t="inlineStr">
        <is>
          <r>
            <t xml:space="preserve"> </t>
          </r>
        </is>
      </c>
      <c r="C83" s="117" t="inlineStr">
        <is>
          <r>
            <t xml:space="preserve"> </t>
          </r>
        </is>
      </c>
      <c r="D83" s="85"/>
      <c r="E83" s="85"/>
      <c r="F83" s="85"/>
      <c r="G83" s="85"/>
      <c r="H83" s="85"/>
      <c r="I83" s="85"/>
      <c r="J83" s="85"/>
      <c r="K83" s="85"/>
      <c r="L83" s="86"/>
      <c r="M83" s="6"/>
      <c r="N83" s="1"/>
      <c r="O83" s="7"/>
      <c r="P83" s="7"/>
      <c r="Q83" s="105"/>
      <c r="W83" s="105"/>
    </row>
    <row r="84" spans="1:23" customHeight="1" ht="27">
      <c r="A84" s="106"/>
      <c r="B84" s="36">
        <v>22</v>
      </c>
      <c r="C84" s="119"/>
      <c r="D84" s="120"/>
      <c r="E84" s="35"/>
      <c r="F84" s="34"/>
      <c r="G84" s="10"/>
      <c r="H84" s="121"/>
      <c r="I84" s="37" t="str">
        <f>H84</f>
        <v>0</v>
      </c>
      <c r="J84" s="122"/>
      <c r="K84" s="123"/>
      <c r="L84" s="124"/>
      <c r="M84" s="14" t="str">
        <f>SUM(I84,L84)</f>
        <v>0</v>
      </c>
      <c r="N84" s="1"/>
      <c r="O84" s="7"/>
      <c r="P84" s="7"/>
      <c r="Q84" s="105"/>
      <c r="W84" s="105"/>
    </row>
    <row r="85" spans="1:23" customHeight="1" ht="23.25">
      <c r="A85" s="106"/>
      <c r="B85" s="114"/>
      <c r="C85" s="71" t="inlineStr">
        <is>
          <r>
            <t xml:space="preserve">TYPE OF FUEL :</t>
          </r>
        </is>
      </c>
      <c r="D85" s="85"/>
      <c r="E85" s="67"/>
      <c r="F85" s="72" t="inlineStr">
        <is>
          <r>
            <t xml:space="preserve">/    PISTON  DISPLACEMENT : </t>
          </r>
        </is>
      </c>
      <c r="G85" s="125"/>
      <c r="H85" s="105"/>
      <c r="I85" s="72"/>
      <c r="J85" s="68"/>
      <c r="K85" s="85"/>
      <c r="L85" s="86"/>
      <c r="M85" s="113"/>
      <c r="N85" s="1"/>
      <c r="O85" s="7"/>
      <c r="P85" s="7"/>
      <c r="Q85" s="105"/>
      <c r="W85" s="105"/>
    </row>
    <row r="86" spans="1:23" customHeight="1" ht="33">
      <c r="A86" s="106"/>
      <c r="B86" s="116" t="inlineStr">
        <is>
          <r>
            <t xml:space="preserve"> </t>
          </r>
        </is>
      </c>
      <c r="C86" s="117" t="inlineStr">
        <is>
          <r>
            <t xml:space="preserve"> </t>
          </r>
        </is>
      </c>
      <c r="D86" s="85"/>
      <c r="E86" s="85"/>
      <c r="F86" s="85"/>
      <c r="G86" s="85"/>
      <c r="H86" s="85"/>
      <c r="I86" s="85"/>
      <c r="J86" s="85"/>
      <c r="K86" s="85"/>
      <c r="L86" s="86"/>
      <c r="M86" s="6"/>
      <c r="N86" s="1"/>
      <c r="O86" s="7"/>
      <c r="P86" s="7"/>
      <c r="Q86" s="105"/>
      <c r="W86" s="105"/>
    </row>
    <row r="87" spans="1:23" customHeight="1" ht="27">
      <c r="A87" s="106"/>
      <c r="B87" s="36">
        <v>23</v>
      </c>
      <c r="C87" s="119"/>
      <c r="D87" s="120"/>
      <c r="E87" s="35"/>
      <c r="F87" s="34"/>
      <c r="G87" s="10"/>
      <c r="H87" s="121"/>
      <c r="I87" s="37" t="str">
        <f>H87</f>
        <v>0</v>
      </c>
      <c r="J87" s="122"/>
      <c r="K87" s="123"/>
      <c r="L87" s="124"/>
      <c r="M87" s="14" t="str">
        <f>SUM(I87,L87)</f>
        <v>0</v>
      </c>
      <c r="N87" s="1"/>
      <c r="O87" s="7"/>
      <c r="P87" s="7"/>
      <c r="Q87" s="105"/>
      <c r="W87" s="105"/>
    </row>
    <row r="88" spans="1:23" customHeight="1" ht="23.25">
      <c r="A88" s="106"/>
      <c r="B88" s="114"/>
      <c r="C88" s="71" t="inlineStr">
        <is>
          <r>
            <t xml:space="preserve">TYPE OF FUEL :</t>
          </r>
        </is>
      </c>
      <c r="D88" s="85"/>
      <c r="E88" s="67"/>
      <c r="F88" s="72" t="inlineStr">
        <is>
          <r>
            <t xml:space="preserve">/    PISTON  DISPLACEMENT : </t>
          </r>
        </is>
      </c>
      <c r="G88" s="125"/>
      <c r="H88" s="105"/>
      <c r="I88" s="72"/>
      <c r="J88" s="68"/>
      <c r="K88" s="85"/>
      <c r="L88" s="86"/>
      <c r="M88" s="113"/>
      <c r="N88" s="1"/>
      <c r="O88" s="7"/>
      <c r="P88" s="7"/>
      <c r="Q88" s="105"/>
      <c r="W88" s="105"/>
    </row>
    <row r="89" spans="1:23" customHeight="1" ht="33">
      <c r="A89" s="106"/>
      <c r="B89" s="116" t="inlineStr">
        <is>
          <r>
            <t xml:space="preserve"> </t>
          </r>
        </is>
      </c>
      <c r="C89" s="117" t="inlineStr">
        <is>
          <r>
            <t xml:space="preserve"> </t>
          </r>
        </is>
      </c>
      <c r="D89" s="85"/>
      <c r="E89" s="85"/>
      <c r="F89" s="85"/>
      <c r="G89" s="85"/>
      <c r="H89" s="85"/>
      <c r="I89" s="85"/>
      <c r="J89" s="85"/>
      <c r="K89" s="85"/>
      <c r="L89" s="86"/>
      <c r="M89" s="6"/>
      <c r="N89" s="1"/>
      <c r="O89" s="7"/>
      <c r="P89" s="7"/>
      <c r="Q89" s="105"/>
      <c r="W89" s="105"/>
    </row>
    <row r="90" spans="1:23" customHeight="1" ht="27">
      <c r="A90" s="106"/>
      <c r="B90" s="36">
        <v>24</v>
      </c>
      <c r="C90" s="119"/>
      <c r="D90" s="120"/>
      <c r="E90" s="35"/>
      <c r="F90" s="34"/>
      <c r="G90" s="10"/>
      <c r="H90" s="121"/>
      <c r="I90" s="37" t="str">
        <f>H90</f>
        <v>0</v>
      </c>
      <c r="J90" s="122"/>
      <c r="K90" s="123"/>
      <c r="L90" s="124"/>
      <c r="M90" s="14" t="str">
        <f>SUM(I90,L90)</f>
        <v>0</v>
      </c>
      <c r="N90" s="1"/>
      <c r="O90" s="7"/>
      <c r="P90" s="7"/>
      <c r="Q90" s="105"/>
      <c r="W90" s="105"/>
    </row>
    <row r="91" spans="1:23" customHeight="1" ht="23.25">
      <c r="A91" s="106"/>
      <c r="B91" s="114"/>
      <c r="C91" s="71" t="inlineStr">
        <is>
          <r>
            <t xml:space="preserve">TYPE OF FUEL :</t>
          </r>
        </is>
      </c>
      <c r="D91" s="85"/>
      <c r="E91" s="67"/>
      <c r="F91" s="72" t="inlineStr">
        <is>
          <r>
            <t xml:space="preserve">/    PISTON  DISPLACEMENT : </t>
          </r>
        </is>
      </c>
      <c r="G91" s="125"/>
      <c r="H91" s="105"/>
      <c r="I91" s="72"/>
      <c r="J91" s="68"/>
      <c r="K91" s="85"/>
      <c r="L91" s="86"/>
      <c r="M91" s="113"/>
      <c r="N91" s="1"/>
      <c r="O91" s="7"/>
      <c r="P91" s="7"/>
      <c r="Q91" s="105"/>
      <c r="W91" s="105"/>
    </row>
    <row r="92" spans="1:23" customHeight="1" ht="33">
      <c r="A92" s="106"/>
      <c r="B92" s="116" t="inlineStr">
        <is>
          <r>
            <t xml:space="preserve"> </t>
          </r>
        </is>
      </c>
      <c r="C92" s="117" t="inlineStr">
        <is>
          <r>
            <t xml:space="preserve"> </t>
          </r>
        </is>
      </c>
      <c r="D92" s="85"/>
      <c r="E92" s="85"/>
      <c r="F92" s="85"/>
      <c r="G92" s="85"/>
      <c r="H92" s="85"/>
      <c r="I92" s="85"/>
      <c r="J92" s="85"/>
      <c r="K92" s="85"/>
      <c r="L92" s="86"/>
      <c r="M92" s="6"/>
      <c r="N92" s="1"/>
      <c r="O92" s="7"/>
      <c r="P92" s="7"/>
      <c r="Q92" s="105"/>
      <c r="W92" s="105"/>
    </row>
    <row r="93" spans="1:23" customHeight="1" ht="27">
      <c r="A93" s="106"/>
      <c r="B93" s="36">
        <v>25</v>
      </c>
      <c r="C93" s="119"/>
      <c r="D93" s="120"/>
      <c r="E93" s="35"/>
      <c r="F93" s="34"/>
      <c r="G93" s="10"/>
      <c r="H93" s="121"/>
      <c r="I93" s="37" t="str">
        <f>H93</f>
        <v>0</v>
      </c>
      <c r="J93" s="122"/>
      <c r="K93" s="123"/>
      <c r="L93" s="124"/>
      <c r="M93" s="14" t="str">
        <f>SUM(I93,L93)</f>
        <v>0</v>
      </c>
      <c r="N93" s="1"/>
      <c r="O93" s="7"/>
      <c r="P93" s="7"/>
      <c r="Q93" s="105"/>
      <c r="W93" s="105"/>
    </row>
    <row r="94" spans="1:23" customHeight="1" ht="23.25">
      <c r="A94" s="106"/>
      <c r="B94" s="114"/>
      <c r="C94" s="71" t="inlineStr">
        <is>
          <r>
            <t xml:space="preserve">TYPE OF FUEL :</t>
          </r>
        </is>
      </c>
      <c r="D94" s="85"/>
      <c r="E94" s="67"/>
      <c r="F94" s="72" t="inlineStr">
        <is>
          <r>
            <t xml:space="preserve">/    PISTON  DISPLACEMENT : </t>
          </r>
        </is>
      </c>
      <c r="G94" s="125"/>
      <c r="H94" s="105"/>
      <c r="I94" s="72"/>
      <c r="J94" s="68"/>
      <c r="K94" s="85"/>
      <c r="L94" s="86"/>
      <c r="M94" s="113"/>
      <c r="N94" s="1"/>
      <c r="O94" s="7"/>
      <c r="P94" s="7"/>
      <c r="Q94" s="105"/>
      <c r="W94" s="105"/>
    </row>
    <row r="95" spans="1:23" customHeight="1" ht="33">
      <c r="A95" s="106"/>
      <c r="B95" s="116" t="inlineStr">
        <is>
          <r>
            <t xml:space="preserve"> </t>
          </r>
        </is>
      </c>
      <c r="C95" s="117" t="inlineStr">
        <is>
          <r>
            <t xml:space="preserve"> </t>
          </r>
        </is>
      </c>
      <c r="D95" s="85"/>
      <c r="E95" s="85"/>
      <c r="F95" s="85"/>
      <c r="G95" s="85"/>
      <c r="H95" s="85"/>
      <c r="I95" s="85"/>
      <c r="J95" s="85"/>
      <c r="K95" s="85"/>
      <c r="L95" s="86"/>
      <c r="M95" s="6"/>
      <c r="N95" s="1"/>
      <c r="O95" s="7"/>
      <c r="P95" s="7"/>
      <c r="Q95" s="105"/>
      <c r="W95" s="105"/>
    </row>
    <row r="96" spans="1:23" customHeight="1" ht="27">
      <c r="A96" s="106"/>
      <c r="B96" s="36">
        <v>26</v>
      </c>
      <c r="C96" s="119"/>
      <c r="D96" s="120"/>
      <c r="E96" s="35"/>
      <c r="F96" s="34"/>
      <c r="G96" s="10"/>
      <c r="H96" s="121"/>
      <c r="I96" s="37" t="str">
        <f>H96</f>
        <v>0</v>
      </c>
      <c r="J96" s="122"/>
      <c r="K96" s="123"/>
      <c r="L96" s="124"/>
      <c r="M96" s="14" t="str">
        <f>SUM(I96,L96)</f>
        <v>0</v>
      </c>
      <c r="N96" s="1"/>
      <c r="O96" s="7"/>
      <c r="P96" s="7"/>
      <c r="Q96" s="105"/>
      <c r="W96" s="105"/>
    </row>
    <row r="97" spans="1:23" customHeight="1" ht="23.25">
      <c r="A97" s="106"/>
      <c r="B97" s="114"/>
      <c r="C97" s="71" t="inlineStr">
        <is>
          <r>
            <t xml:space="preserve">TYPE OF FUEL :</t>
          </r>
        </is>
      </c>
      <c r="D97" s="85"/>
      <c r="E97" s="67"/>
      <c r="F97" s="72" t="inlineStr">
        <is>
          <r>
            <t xml:space="preserve">/    PISTON  DISPLACEMENT : </t>
          </r>
        </is>
      </c>
      <c r="G97" s="125"/>
      <c r="H97" s="105"/>
      <c r="I97" s="72"/>
      <c r="J97" s="68"/>
      <c r="K97" s="85"/>
      <c r="L97" s="86"/>
      <c r="M97" s="113"/>
      <c r="N97" s="1"/>
      <c r="O97" s="7"/>
      <c r="P97" s="7"/>
      <c r="Q97" s="105"/>
      <c r="W97" s="105"/>
    </row>
    <row r="98" spans="1:23" customHeight="1" ht="33">
      <c r="A98" s="106"/>
      <c r="B98" s="116" t="inlineStr">
        <is>
          <r>
            <t xml:space="preserve"> </t>
          </r>
        </is>
      </c>
      <c r="C98" s="117" t="inlineStr">
        <is>
          <r>
            <t xml:space="preserve"> </t>
          </r>
        </is>
      </c>
      <c r="D98" s="85"/>
      <c r="E98" s="85"/>
      <c r="F98" s="85"/>
      <c r="G98" s="85"/>
      <c r="H98" s="85"/>
      <c r="I98" s="85"/>
      <c r="J98" s="85"/>
      <c r="K98" s="85"/>
      <c r="L98" s="86"/>
      <c r="M98" s="6"/>
      <c r="N98" s="1"/>
      <c r="O98" s="7"/>
      <c r="P98" s="7"/>
      <c r="Q98" s="105"/>
      <c r="W98" s="105"/>
    </row>
    <row r="99" spans="1:23" customHeight="1" ht="27">
      <c r="A99" s="106"/>
      <c r="B99" s="36">
        <v>27</v>
      </c>
      <c r="C99" s="119"/>
      <c r="D99" s="120"/>
      <c r="E99" s="35"/>
      <c r="F99" s="34"/>
      <c r="G99" s="10"/>
      <c r="H99" s="121"/>
      <c r="I99" s="37" t="str">
        <f>H99</f>
        <v>0</v>
      </c>
      <c r="J99" s="122"/>
      <c r="K99" s="123"/>
      <c r="L99" s="124"/>
      <c r="M99" s="14" t="str">
        <f>SUM(I99,L99)</f>
        <v>0</v>
      </c>
      <c r="N99" s="1"/>
      <c r="O99" s="7"/>
      <c r="P99" s="7"/>
      <c r="Q99" s="105"/>
      <c r="W99" s="105"/>
    </row>
    <row r="100" spans="1:23" customHeight="1" ht="23.25">
      <c r="A100" s="106"/>
      <c r="B100" s="114"/>
      <c r="C100" s="71" t="inlineStr">
        <is>
          <r>
            <t xml:space="preserve">TYPE OF FUEL :</t>
          </r>
        </is>
      </c>
      <c r="D100" s="85"/>
      <c r="E100" s="67"/>
      <c r="F100" s="72" t="inlineStr">
        <is>
          <r>
            <t xml:space="preserve">/    PISTON  DISPLACEMENT : </t>
          </r>
        </is>
      </c>
      <c r="G100" s="125"/>
      <c r="H100" s="105"/>
      <c r="I100" s="72"/>
      <c r="J100" s="68"/>
      <c r="K100" s="85"/>
      <c r="L100" s="86"/>
      <c r="M100" s="113"/>
      <c r="N100" s="1"/>
      <c r="O100" s="7"/>
      <c r="P100" s="7"/>
      <c r="Q100" s="105"/>
      <c r="W100" s="105"/>
    </row>
    <row r="101" spans="1:23" customHeight="1" ht="33">
      <c r="A101" s="106"/>
      <c r="B101" s="116" t="inlineStr">
        <is>
          <r>
            <t xml:space="preserve"> </t>
          </r>
        </is>
      </c>
      <c r="C101" s="117" t="inlineStr">
        <is>
          <r>
            <t xml:space="preserve"> </t>
          </r>
        </is>
      </c>
      <c r="D101" s="85"/>
      <c r="E101" s="85"/>
      <c r="F101" s="85"/>
      <c r="G101" s="85"/>
      <c r="H101" s="85"/>
      <c r="I101" s="85"/>
      <c r="J101" s="85"/>
      <c r="K101" s="85"/>
      <c r="L101" s="86"/>
      <c r="M101" s="6"/>
      <c r="N101" s="1"/>
      <c r="O101" s="7"/>
      <c r="P101" s="7"/>
      <c r="Q101" s="105"/>
      <c r="W101" s="105"/>
    </row>
    <row r="102" spans="1:23" customHeight="1" ht="27">
      <c r="A102" s="106"/>
      <c r="B102" s="36">
        <v>28</v>
      </c>
      <c r="C102" s="119"/>
      <c r="D102" s="120"/>
      <c r="E102" s="35"/>
      <c r="F102" s="34"/>
      <c r="G102" s="10"/>
      <c r="H102" s="121"/>
      <c r="I102" s="37" t="str">
        <f>H102</f>
        <v>0</v>
      </c>
      <c r="J102" s="122"/>
      <c r="K102" s="123"/>
      <c r="L102" s="124"/>
      <c r="M102" s="14" t="str">
        <f>SUM(I102,L102)</f>
        <v>0</v>
      </c>
      <c r="N102" s="1"/>
      <c r="O102" s="7"/>
      <c r="P102" s="7"/>
      <c r="Q102" s="105"/>
      <c r="W102" s="105"/>
    </row>
    <row r="103" spans="1:23" customHeight="1" ht="23.25">
      <c r="A103" s="106"/>
      <c r="B103" s="114"/>
      <c r="C103" s="71" t="inlineStr">
        <is>
          <r>
            <t xml:space="preserve">TYPE OF FUEL :</t>
          </r>
        </is>
      </c>
      <c r="D103" s="85"/>
      <c r="E103" s="67"/>
      <c r="F103" s="72" t="inlineStr">
        <is>
          <r>
            <t xml:space="preserve">/    PISTON  DISPLACEMENT : </t>
          </r>
        </is>
      </c>
      <c r="G103" s="125"/>
      <c r="H103" s="105"/>
      <c r="I103" s="72"/>
      <c r="J103" s="68"/>
      <c r="K103" s="85"/>
      <c r="L103" s="86"/>
      <c r="M103" s="113"/>
      <c r="N103" s="1"/>
      <c r="O103" s="7"/>
      <c r="P103" s="7"/>
      <c r="Q103" s="105"/>
      <c r="W103" s="105"/>
    </row>
    <row r="104" spans="1:23" customHeight="1" ht="33">
      <c r="A104" s="106"/>
      <c r="B104" s="116" t="inlineStr">
        <is>
          <r>
            <t xml:space="preserve"> </t>
          </r>
        </is>
      </c>
      <c r="C104" s="117" t="inlineStr">
        <is>
          <r>
            <t xml:space="preserve"> </t>
          </r>
        </is>
      </c>
      <c r="D104" s="85"/>
      <c r="E104" s="85"/>
      <c r="F104" s="85"/>
      <c r="G104" s="85"/>
      <c r="H104" s="85"/>
      <c r="I104" s="85"/>
      <c r="J104" s="85"/>
      <c r="K104" s="85"/>
      <c r="L104" s="86"/>
      <c r="M104" s="6"/>
      <c r="N104" s="1"/>
      <c r="O104" s="7"/>
      <c r="P104" s="7"/>
      <c r="Q104" s="105"/>
      <c r="W104" s="105"/>
    </row>
    <row r="105" spans="1:23" customHeight="1" ht="27">
      <c r="A105" s="106"/>
      <c r="B105" s="36">
        <v>29</v>
      </c>
      <c r="C105" s="119"/>
      <c r="D105" s="120"/>
      <c r="E105" s="35"/>
      <c r="F105" s="34"/>
      <c r="G105" s="10"/>
      <c r="H105" s="121"/>
      <c r="I105" s="37" t="str">
        <f>H105</f>
        <v>0</v>
      </c>
      <c r="J105" s="122"/>
      <c r="K105" s="123"/>
      <c r="L105" s="124"/>
      <c r="M105" s="14" t="str">
        <f>SUM(I105,L105)</f>
        <v>0</v>
      </c>
      <c r="N105" s="1"/>
      <c r="O105" s="7"/>
      <c r="P105" s="7"/>
      <c r="Q105" s="105"/>
      <c r="W105" s="105"/>
    </row>
    <row r="106" spans="1:23" customHeight="1" ht="23.25">
      <c r="A106" s="106"/>
      <c r="B106" s="114"/>
      <c r="C106" s="71" t="inlineStr">
        <is>
          <r>
            <t xml:space="preserve">TYPE OF FUEL :</t>
          </r>
        </is>
      </c>
      <c r="D106" s="85"/>
      <c r="E106" s="67"/>
      <c r="F106" s="72" t="inlineStr">
        <is>
          <r>
            <t xml:space="preserve">/    PISTON  DISPLACEMENT : </t>
          </r>
        </is>
      </c>
      <c r="G106" s="125"/>
      <c r="H106" s="105"/>
      <c r="I106" s="72"/>
      <c r="J106" s="68"/>
      <c r="K106" s="85"/>
      <c r="L106" s="86"/>
      <c r="M106" s="113"/>
      <c r="N106" s="1"/>
      <c r="O106" s="7"/>
      <c r="P106" s="7"/>
      <c r="Q106" s="105"/>
      <c r="W106" s="105"/>
    </row>
    <row r="107" spans="1:23" customHeight="1" ht="33">
      <c r="A107" s="106"/>
      <c r="B107" s="116" t="inlineStr">
        <is>
          <r>
            <t xml:space="preserve"> </t>
          </r>
        </is>
      </c>
      <c r="C107" s="117" t="inlineStr">
        <is>
          <r>
            <t xml:space="preserve"> </t>
          </r>
        </is>
      </c>
      <c r="D107" s="85"/>
      <c r="E107" s="85"/>
      <c r="F107" s="85"/>
      <c r="G107" s="85"/>
      <c r="H107" s="85"/>
      <c r="I107" s="85"/>
      <c r="J107" s="85"/>
      <c r="K107" s="85"/>
      <c r="L107" s="86"/>
      <c r="M107" s="6"/>
      <c r="N107" s="1"/>
      <c r="O107" s="7"/>
      <c r="P107" s="7"/>
      <c r="Q107" s="105"/>
      <c r="W107" s="105"/>
    </row>
    <row r="108" spans="1:23" customHeight="1" ht="27">
      <c r="A108" s="106"/>
      <c r="B108" s="36">
        <v>30</v>
      </c>
      <c r="C108" s="119"/>
      <c r="D108" s="120"/>
      <c r="E108" s="35"/>
      <c r="F108" s="34"/>
      <c r="G108" s="10"/>
      <c r="H108" s="121"/>
      <c r="I108" s="37" t="str">
        <f>H108</f>
        <v>0</v>
      </c>
      <c r="J108" s="122"/>
      <c r="K108" s="123"/>
      <c r="L108" s="124"/>
      <c r="M108" s="14" t="str">
        <f>SUM(I108,L108)</f>
        <v>0</v>
      </c>
      <c r="N108" s="1"/>
      <c r="O108" s="7"/>
      <c r="P108" s="7"/>
      <c r="Q108" s="105"/>
      <c r="W108" s="105"/>
    </row>
    <row r="109" spans="1:23" customHeight="1" ht="23.25">
      <c r="A109" s="106"/>
      <c r="B109" s="114"/>
      <c r="C109" s="71" t="inlineStr">
        <is>
          <r>
            <t xml:space="preserve">TYPE OF FUEL :</t>
          </r>
        </is>
      </c>
      <c r="D109" s="85"/>
      <c r="E109" s="67"/>
      <c r="F109" s="72" t="inlineStr">
        <is>
          <r>
            <t xml:space="preserve">/    PISTON  DISPLACEMENT : </t>
          </r>
        </is>
      </c>
      <c r="G109" s="125"/>
      <c r="H109" s="105"/>
      <c r="I109" s="72"/>
      <c r="J109" s="68"/>
      <c r="K109" s="85"/>
      <c r="L109" s="86"/>
      <c r="M109" s="113"/>
      <c r="N109" s="1"/>
      <c r="O109" s="7"/>
      <c r="P109" s="7"/>
      <c r="Q109" s="105"/>
      <c r="W109" s="105"/>
    </row>
    <row r="110" spans="1:23" customHeight="1" ht="33">
      <c r="A110" s="106"/>
      <c r="B110" s="116" t="inlineStr">
        <is>
          <r>
            <t xml:space="preserve"> </t>
          </r>
        </is>
      </c>
      <c r="C110" s="117" t="inlineStr">
        <is>
          <r>
            <t xml:space="preserve"> </t>
          </r>
        </is>
      </c>
      <c r="D110" s="85"/>
      <c r="E110" s="85"/>
      <c r="F110" s="85"/>
      <c r="G110" s="85"/>
      <c r="H110" s="85"/>
      <c r="I110" s="85"/>
      <c r="J110" s="85"/>
      <c r="K110" s="85"/>
      <c r="L110" s="86"/>
      <c r="M110" s="6"/>
      <c r="N110" s="1"/>
      <c r="O110" s="7"/>
      <c r="P110" s="7"/>
      <c r="Q110" s="105"/>
      <c r="W110" s="105"/>
    </row>
    <row r="111" spans="1:23" customHeight="1" ht="23.1" s="83" customFormat="1">
      <c r="B111" s="17"/>
      <c r="C111" s="33"/>
      <c r="D111" s="65" t="inlineStr">
        <is>
          <r>
            <t xml:space="preserve"> </t>
          </r>
        </is>
      </c>
      <c r="E111" s="94"/>
      <c r="F111" s="80" t="inlineStr">
        <is>
          <r>
            <t xml:space="preserve"> SUB TOTAL :</t>
          </r>
        </is>
      </c>
      <c r="G111" s="85"/>
      <c r="H111" s="126"/>
      <c r="I111" s="41" t="str">
        <f>SUM(I21:I110)</f>
        <v>0</v>
      </c>
      <c r="J111" s="43" t="str">
        <f>SUM(J21:J110)</f>
        <v>0</v>
      </c>
      <c r="K111" s="42" t="str">
        <f>SUM(K21:K110)</f>
        <v>0</v>
      </c>
      <c r="L111" s="38" t="str">
        <f>SUM(L21:L110)</f>
        <v>0</v>
      </c>
      <c r="M111" s="6"/>
      <c r="O111" s="7"/>
      <c r="P111" s="7"/>
      <c r="Q111" s="105"/>
      <c r="R111" s="105"/>
      <c r="S111" s="105"/>
      <c r="T111" s="105"/>
      <c r="U111" s="105"/>
      <c r="V111" s="105"/>
      <c r="W111" s="105"/>
    </row>
    <row r="112" spans="1:23" customHeight="1" ht="23.1" s="83" customFormat="1">
      <c r="B112" s="18"/>
      <c r="C112" s="7"/>
      <c r="D112" s="127" t="inlineStr">
        <is>
          <r>
            <t xml:space="preserve">CFR</t>
          </r>
        </is>
      </c>
      <c r="E112" s="89"/>
      <c r="F112" s="79" t="inlineStr">
        <is>
          <r>
            <t xml:space="preserve">OCEAN FREIGHT</t>
          </r>
        </is>
      </c>
      <c r="G112" s="88"/>
      <c r="H112" s="128" t="inlineStr">
        <is>
          <r>
            <t xml:space="preserve"> </t>
          </r>
        </is>
      </c>
      <c r="I112" s="40" t="str">
        <f>SUM(L111)</f>
        <v>0</v>
      </c>
      <c r="J112" s="130"/>
      <c r="K112" s="129"/>
      <c r="L112" s="131"/>
      <c r="M112" s="6"/>
      <c r="O112" s="7"/>
      <c r="P112" s="7"/>
      <c r="Q112" s="105"/>
      <c r="R112" s="105"/>
      <c r="S112" s="105"/>
      <c r="T112" s="105"/>
      <c r="U112" s="105"/>
      <c r="V112" s="105"/>
      <c r="W112" s="105"/>
    </row>
    <row r="113" spans="1:23" customHeight="1" ht="23.1" s="83" customFormat="1">
      <c r="B113" s="18"/>
      <c r="C113" s="7"/>
      <c r="D113" s="132"/>
      <c r="E113" s="133"/>
      <c r="F113" s="78" t="inlineStr">
        <is>
          <r>
            <t xml:space="preserve"> </t>
          </r>
        </is>
      </c>
      <c r="G113" s="132"/>
      <c r="H113" s="132"/>
      <c r="I113" s="130" t="inlineStr">
        <is>
          <r>
            <t xml:space="preserve"> </t>
          </r>
        </is>
      </c>
      <c r="J113" s="130"/>
      <c r="K113" s="129"/>
      <c r="L113" s="131"/>
      <c r="M113" s="6"/>
      <c r="O113" s="7"/>
      <c r="P113" s="7"/>
      <c r="Q113" s="105"/>
      <c r="R113" s="105"/>
      <c r="S113" s="105"/>
      <c r="T113" s="105"/>
      <c r="U113" s="105"/>
      <c r="V113" s="105"/>
      <c r="W113" s="83"/>
    </row>
    <row r="114" spans="1:23" customHeight="1" ht="23.1" s="83" customFormat="1">
      <c r="B114" s="19"/>
      <c r="C114" s="8"/>
      <c r="D114" s="69" t="inlineStr">
        <is>
          <r>
            <t xml:space="preserve"> </t>
          </r>
        </is>
      </c>
      <c r="E114" s="134"/>
      <c r="F114" s="73" t="inlineStr">
        <is>
          <r>
            <t xml:space="preserve"> GRAND TOTAL :</t>
          </r>
        </is>
      </c>
      <c r="G114" s="134"/>
      <c r="H114" s="9"/>
      <c r="I114" s="39" t="str">
        <f>SUM(I111:I113)</f>
        <v>0</v>
      </c>
      <c r="J114" s="136"/>
      <c r="K114" s="135"/>
      <c r="L114" s="137"/>
      <c r="M114" s="6"/>
      <c r="N114" s="1" t="inlineStr">
        <is>
          <r>
            <t xml:space="preserve"> DIESEL </t>
          </r>
        </is>
      </c>
      <c r="P114" s="7"/>
      <c r="Q114" s="105"/>
      <c r="R114" s="105"/>
      <c r="S114" s="105"/>
      <c r="T114" s="105"/>
      <c r="U114" s="105"/>
      <c r="W114" s="83"/>
    </row>
    <row r="115" spans="1:23">
      <c r="B115" s="20"/>
      <c r="C115" s="21"/>
      <c r="D115" s="21"/>
      <c r="E115" s="21"/>
      <c r="F115" s="21"/>
      <c r="G115" s="49" t="inlineStr">
        <is>
          <r>
            <t xml:space="preserve">Signed By    </t>
          </r>
        </is>
      </c>
      <c r="H115" s="88"/>
      <c r="I115" s="6"/>
      <c r="J115" s="21"/>
      <c r="K115" s="7"/>
      <c r="L115" s="22"/>
      <c r="M115" s="6"/>
      <c r="N115" s="1" t="inlineStr">
        <is>
          <r>
            <t xml:space="preserve">GASOLIN</t>
          </r>
        </is>
      </c>
      <c r="O115" s="7"/>
      <c r="P115" s="7"/>
      <c r="Q115" s="105"/>
      <c r="R115" s="105"/>
      <c r="S115" s="105"/>
      <c r="T115" s="105"/>
      <c r="U115" s="105"/>
      <c r="W115"/>
    </row>
    <row r="116" spans="1:23">
      <c r="B116" s="23"/>
      <c r="L116" s="24"/>
      <c r="N116" s="1" t="inlineStr">
        <is>
          <r>
            <t xml:space="preserve">LPG</t>
          </r>
        </is>
      </c>
      <c r="S116" s="105"/>
      <c r="U116" s="105"/>
      <c r="W116"/>
    </row>
    <row r="117" spans="1:23">
      <c r="B117" s="23"/>
      <c r="L117" s="24"/>
      <c r="W117"/>
    </row>
    <row r="118" spans="1:23">
      <c r="B118" s="23"/>
      <c r="L118" s="24"/>
      <c r="W118"/>
    </row>
    <row r="119" spans="1:23">
      <c r="B119" s="23"/>
      <c r="L119" s="24"/>
      <c r="W119"/>
    </row>
    <row r="120" spans="1:23">
      <c r="B120" s="23"/>
      <c r="L120" s="24"/>
      <c r="W120"/>
    </row>
    <row r="121" spans="1:23" customHeight="1" ht="9.95" s="83" customFormat="1"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7"/>
      <c r="W121" s="83"/>
    </row>
  </sheetData>
  <mergeCells>
    <mergeCell ref="C23:L23"/>
    <mergeCell ref="N11:O11"/>
    <mergeCell ref="P20:Q20"/>
    <mergeCell ref="D111:E111"/>
    <mergeCell ref="J11:L11"/>
    <mergeCell ref="P22:Q22"/>
    <mergeCell ref="J25:L25"/>
    <mergeCell ref="N3:O3"/>
    <mergeCell ref="G5:L5"/>
    <mergeCell ref="N12:O12"/>
    <mergeCell ref="B2:F2"/>
    <mergeCell ref="P6:Q6"/>
    <mergeCell ref="N5:O5"/>
    <mergeCell ref="B1:L1"/>
    <mergeCell ref="H112:H113"/>
    <mergeCell ref="G3:I4"/>
    <mergeCell ref="P24:Q24"/>
    <mergeCell ref="C28:D28"/>
    <mergeCell ref="G8:L8"/>
    <mergeCell ref="B13:F14"/>
    <mergeCell ref="P26:Q26"/>
    <mergeCell ref="N7:O7"/>
    <mergeCell ref="G10:L10"/>
    <mergeCell ref="G15:H16"/>
    <mergeCell ref="P10:Q10"/>
    <mergeCell ref="B17:D17"/>
    <mergeCell ref="P25:Q25"/>
    <mergeCell ref="C32:L32"/>
    <mergeCell ref="G115:H115"/>
    <mergeCell ref="P9:Q9"/>
    <mergeCell ref="N2:O2"/>
    <mergeCell ref="P2:Q2"/>
    <mergeCell ref="P11:Q11"/>
    <mergeCell ref="B8:F8"/>
    <mergeCell ref="C26:L26"/>
    <mergeCell ref="B9:F11"/>
    <mergeCell ref="C35:L35"/>
    <mergeCell ref="D114:E114"/>
    <mergeCell ref="G17:H18"/>
    <mergeCell ref="G6:L7"/>
    <mergeCell ref="F114:G114"/>
    <mergeCell ref="E16:F16"/>
    <mergeCell ref="J28:L28"/>
    <mergeCell ref="N6:O6"/>
    <mergeCell ref="G12:L14"/>
    <mergeCell ref="E18:F18"/>
    <mergeCell ref="N4:O4"/>
    <mergeCell ref="P4:Q4"/>
    <mergeCell ref="C34:D34"/>
    <mergeCell ref="C20:D20"/>
    <mergeCell ref="N18:O18"/>
    <mergeCell ref="F111:G111"/>
    <mergeCell ref="C22:D22"/>
    <mergeCell ref="C31:D31"/>
    <mergeCell ref="N8:O8"/>
    <mergeCell ref="E15:F15"/>
    <mergeCell ref="G9:L9"/>
    <mergeCell ref="N14:R16"/>
    <mergeCell ref="N10:O10"/>
    <mergeCell ref="P19:Q19"/>
    <mergeCell ref="N9:O9"/>
    <mergeCell ref="P3:Q3"/>
    <mergeCell ref="P12:Q12"/>
    <mergeCell ref="P5:Q5"/>
    <mergeCell ref="J34:L34"/>
    <mergeCell ref="J3:L4"/>
    <mergeCell ref="E17:F17"/>
    <mergeCell ref="D112:E113"/>
    <mergeCell ref="B12:F12"/>
    <mergeCell ref="P21:Q21"/>
    <mergeCell ref="B3:F7"/>
    <mergeCell ref="C25:D25"/>
    <mergeCell ref="J22:L22"/>
    <mergeCell ref="P8:Q8"/>
    <mergeCell ref="J31:L31"/>
    <mergeCell ref="I17:L18"/>
    <mergeCell ref="B15:D15"/>
    <mergeCell ref="P23:Q23"/>
    <mergeCell ref="F113:G113"/>
    <mergeCell ref="P7:Q7"/>
    <mergeCell ref="C29:L29"/>
    <mergeCell ref="B16:D16"/>
    <mergeCell ref="G11:I11"/>
    <mergeCell ref="F112:G112"/>
    <mergeCell ref="G2:L2"/>
    <mergeCell ref="B18:D18"/>
    <mergeCell ref="I15:L16"/>
    <mergeCell ref="C38:L38"/>
    <mergeCell ref="C37:D37"/>
    <mergeCell ref="J37:L37"/>
    <mergeCell ref="C41:L41"/>
    <mergeCell ref="C40:D40"/>
    <mergeCell ref="J40:L40"/>
    <mergeCell ref="C44:L44"/>
    <mergeCell ref="C43:D43"/>
    <mergeCell ref="J43:L43"/>
    <mergeCell ref="C47:L47"/>
    <mergeCell ref="C46:D46"/>
    <mergeCell ref="J46:L46"/>
    <mergeCell ref="C50:L50"/>
    <mergeCell ref="C49:D49"/>
    <mergeCell ref="J49:L49"/>
    <mergeCell ref="C53:L53"/>
    <mergeCell ref="C52:D52"/>
    <mergeCell ref="J52:L52"/>
    <mergeCell ref="C56:L56"/>
    <mergeCell ref="C55:D55"/>
    <mergeCell ref="J55:L55"/>
    <mergeCell ref="C59:L59"/>
    <mergeCell ref="C58:D58"/>
    <mergeCell ref="J58:L58"/>
    <mergeCell ref="C62:L62"/>
    <mergeCell ref="C61:D61"/>
    <mergeCell ref="J61:L61"/>
    <mergeCell ref="C65:L65"/>
    <mergeCell ref="C64:D64"/>
    <mergeCell ref="J64:L64"/>
    <mergeCell ref="C68:L68"/>
    <mergeCell ref="C67:D67"/>
    <mergeCell ref="J67:L67"/>
    <mergeCell ref="C71:L71"/>
    <mergeCell ref="C70:D70"/>
    <mergeCell ref="J70:L70"/>
    <mergeCell ref="C74:L74"/>
    <mergeCell ref="C73:D73"/>
    <mergeCell ref="J73:L73"/>
    <mergeCell ref="C77:L77"/>
    <mergeCell ref="C76:D76"/>
    <mergeCell ref="J76:L76"/>
    <mergeCell ref="C80:L80"/>
    <mergeCell ref="C79:D79"/>
    <mergeCell ref="J79:L79"/>
    <mergeCell ref="C83:L83"/>
    <mergeCell ref="C82:D82"/>
    <mergeCell ref="J82:L82"/>
    <mergeCell ref="C86:L86"/>
    <mergeCell ref="C85:D85"/>
    <mergeCell ref="J85:L85"/>
    <mergeCell ref="C89:L89"/>
    <mergeCell ref="C88:D88"/>
    <mergeCell ref="J88:L88"/>
    <mergeCell ref="C92:L92"/>
    <mergeCell ref="C91:D91"/>
    <mergeCell ref="J91:L91"/>
    <mergeCell ref="C95:L95"/>
    <mergeCell ref="C94:D94"/>
    <mergeCell ref="J94:L94"/>
    <mergeCell ref="C98:L98"/>
    <mergeCell ref="C97:D97"/>
    <mergeCell ref="J97:L97"/>
    <mergeCell ref="C101:L101"/>
    <mergeCell ref="C100:D100"/>
    <mergeCell ref="J100:L100"/>
    <mergeCell ref="C104:L104"/>
    <mergeCell ref="C103:D103"/>
    <mergeCell ref="J103:L103"/>
    <mergeCell ref="C107:L107"/>
    <mergeCell ref="C106:D106"/>
    <mergeCell ref="J106:L106"/>
    <mergeCell ref="C110:L110"/>
    <mergeCell ref="C109:D109"/>
    <mergeCell ref="J109:L109"/>
  </mergeCells>
  <dataValidations count="18"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D112">
      <formula1>"FOB,CFR"</formula1>
    </dataValidation>
    <dataValidation type="list" allowBlank="1" showDropDown="0" showInputMessage="1" showErrorMessage="1" sqref="D113">
      <formula1>"FOB,CFR"</formula1>
    </dataValidation>
    <dataValidation type="list" allowBlank="1" showDropDown="0" showInputMessage="1" showErrorMessage="1" sqref="E113">
      <formula1>"FOB,CFR"</formula1>
    </dataValidation>
    <dataValidation type="list" allowBlank="1" showDropDown="0" showInputMessage="1" showErrorMessage="1" sqref="E28">
      <formula1>$N$39:$N$41</formula1>
    </dataValidation>
    <dataValidation type="list" allowBlank="1" showDropDown="0" showInputMessage="1" showErrorMessage="1" sqref="E34">
      <formula1>$N$39:$N$41</formula1>
    </dataValidation>
    <dataValidation type="list" allowBlank="1" showDropDown="0" showInputMessage="1" showErrorMessage="1" sqref="E31">
      <formula1>$N$39:$N$41</formula1>
    </dataValidation>
    <dataValidation type="list" allowBlank="1" showDropDown="0" showInputMessage="1" showErrorMessage="1" sqref="E16:F16">
      <formula1>$T$2:$T$13</formula1>
    </dataValidation>
    <dataValidation type="list" allowBlank="1" showDropDown="0" showInputMessage="1" showErrorMessage="1" sqref="E22">
      <formula1>$N$39:$N$41</formula1>
    </dataValidation>
    <dataValidation type="list" allowBlank="1" showDropDown="0" showInputMessage="1" showErrorMessage="1" sqref="E112">
      <formula1>"FOB,CFR"</formula1>
    </dataValidation>
    <dataValidation type="list" allowBlank="1" showDropDown="0" showInputMessage="1" showErrorMessage="1" sqref="E25">
      <formula1>$N$39:$N$41</formula1>
    </dataValidation>
    <dataValidation type="list" allowBlank="1" showDropDown="0" showInputMessage="1" showErrorMessage="1" sqref="E16:F16">
      <formula1>$T$2:$T$13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</dataValidations>
  <printOptions gridLines="false" gridLinesSet="true" horizontalCentered="true" verticalCentered="true"/>
  <pageMargins left="0.19685039370079" right="0.19685039370079" top="0.59055118110236" bottom="0.19685039370079" header="0.19685039370079" footer="0"/>
  <pageSetup paperSize="9" orientation="portrait" scale="71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</dc:creator>
  <cp:lastModifiedBy>choi young suk</cp:lastModifiedBy>
  <dcterms:created xsi:type="dcterms:W3CDTF">2023-01-19T09:19:52+09:00</dcterms:created>
  <dcterms:modified xsi:type="dcterms:W3CDTF">2026-05-24T14:10:10+09:00</dcterms:modified>
  <dc:title/>
  <dc:description/>
  <dc:subject/>
  <cp:keywords/>
  <cp:category/>
</cp:coreProperties>
</file>