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Titles" localSheetId="0">'INVOICE'!$20:$20</definedName>
    <definedName name="_xlnm.Print_Area" localSheetId="0">'INVOICE'!$B$1:$L$61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<sst xmlns="http://schemas.openxmlformats.org/spreadsheetml/2006/main" uniqueCount="112">
  <si>
    <r>
      <t xml:space="preserve">COMMERCIAL INVOICE &amp; PACKING LIST</t>
    </r>
  </si>
  <si>
    <r>
      <t xml:space="preserve">1) Shipper / Exporter</t>
    </r>
  </si>
  <si>
    <r>
      <t xml:space="preserve">8) No. &amp; date of invoice</t>
    </r>
  </si>
  <si>
    <r>
      <t xml:space="preserve">INCHOEN, KOREA</t>
    </r>
  </si>
  <si>
    <r>
      <t xml:space="preserve">AZERBAIJAN</t>
    </r>
  </si>
  <si>
    <t>SSANCAR LTD.,
163 Sangidaehak-ro, Siheung-si,
Gyeonggi-do, Republic of Korea
TEL:82-505-355-9977  
FAX:82-505-366-9977 
EMAIL : ssancar9977@gmail.com</t>
  </si>
  <si>
    <r>
      <t xml:space="preserve">MASAN, KOREA</t>
    </r>
  </si>
  <si>
    <r>
      <t xml:space="preserve">DURRESS,  ALBANIA</t>
    </r>
  </si>
  <si>
    <r>
      <t xml:space="preserve">PYEONGTAEK, KOREA</t>
    </r>
  </si>
  <si>
    <r>
      <t xml:space="preserve">KYRGYZSTAN</t>
    </r>
  </si>
  <si>
    <r>
      <t xml:space="preserve">9) No. &amp; date of L/C</t>
    </r>
  </si>
  <si>
    <r>
      <t xml:space="preserve"> </t>
    </r>
  </si>
  <si>
    <r>
      <t xml:space="preserve">VLADIVOSTOK,  RUSSIA</t>
    </r>
  </si>
  <si>
    <r>
      <t xml:space="preserve">BUSAN, KOREA</t>
    </r>
  </si>
  <si>
    <r>
      <t xml:space="preserve">TTR BASE</t>
    </r>
  </si>
  <si>
    <r>
      <t xml:space="preserve">NAKHODKA,  RUSSIA</t>
    </r>
  </si>
  <si>
    <r>
      <t xml:space="preserve">KAZAKHSTAN</t>
    </r>
  </si>
  <si>
    <r>
      <t xml:space="preserve">2) For account &amp; risk of Messers.</t>
    </r>
  </si>
  <si>
    <r>
      <t xml:space="preserve">10) L/C issuing bank</t>
    </r>
  </si>
  <si>
    <r>
      <t xml:space="preserve">BURGAS,  BULGARIA</t>
    </r>
  </si>
  <si>
    <r>
      <t xml:space="preserve">Cereku Andi
J80525075Q
Durres, Fushe Kruje, Hasan village, Hasan street, private building, 
1 floor, cadastral area no. 1934, building / Postal Code : 1934
+ ‪0696688738</t>
    </r>
  </si>
  <si>
    <r>
      <t xml:space="preserve">MOLDOVA</t>
    </r>
  </si>
  <si>
    <r>
      <t xml:space="preserve">*Remark</t>
    </r>
  </si>
  <si>
    <r>
      <t xml:space="preserve">KLAIPEDA</t>
    </r>
  </si>
  <si>
    <r>
      <t xml:space="preserve">USED KOREAN CARS</t>
    </r>
  </si>
  <si>
    <r>
      <t xml:space="preserve">Q'TY : UNIT</t>
    </r>
  </si>
  <si>
    <r>
      <t xml:space="preserve">NORRKOPING</t>
    </r>
  </si>
  <si>
    <r>
      <t xml:space="preserve">3) Notify party</t>
    </r>
  </si>
  <si>
    <r>
      <t xml:space="preserve">RORO 6-2_2</t>
    </r>
  </si>
  <si>
    <r>
      <t xml:space="preserve">U.A.E (DUBAI)</t>
    </r>
  </si>
  <si>
    <r>
      <t xml:space="preserve">SAME AS ABOVE</t>
    </r>
  </si>
  <si>
    <r>
      <t xml:space="preserve">CHILE</t>
    </r>
  </si>
  <si>
    <r>
      <t xml:space="preserve">4) Port of loading</t>
    </r>
  </si>
  <si>
    <r>
      <t xml:space="preserve">5) Final Destination</t>
    </r>
  </si>
  <si>
    <r>
      <t xml:space="preserve">반입지 : </t>
    </r>
  </si>
  <si>
    <r>
      <t xml:space="preserve">인천항 3부두</t>
    </r>
  </si>
  <si>
    <r>
      <t xml:space="preserve">6) Vessel name</t>
    </r>
  </si>
  <si>
    <r>
      <t xml:space="preserve">7) Sailing on or about</t>
    </r>
  </si>
  <si>
    <r>
      <t xml:space="preserve">SSANCAR MADAGASCAR
TEL:033-152-9977 / 034-142-9977
101 ANTANANARIVO MADAGASCAR
LOT SIBD 35 TSARALALANA ANALAMANGA</t>
    </r>
  </si>
  <si>
    <r>
      <t xml:space="preserve">11) MARKS AND NUMBERS OF PKGS</t>
    </r>
  </si>
  <si>
    <r>
      <t xml:space="preserve">12) Description of Goods</t>
    </r>
  </si>
  <si>
    <r>
      <t xml:space="preserve">13) Quantity</t>
    </r>
  </si>
  <si>
    <r>
      <t xml:space="preserve">14) Unit price</t>
    </r>
  </si>
  <si>
    <r>
      <t xml:space="preserve">15) Amount</t>
    </r>
  </si>
  <si>
    <r>
      <t xml:space="preserve">16) WEIGHT</t>
    </r>
  </si>
  <si>
    <r>
      <t xml:space="preserve">17) CBM</t>
    </r>
  </si>
  <si>
    <r>
      <t xml:space="preserve">18) DISPLACE-
MENT(cc)</t>
    </r>
  </si>
  <si>
    <r>
      <t xml:space="preserve">NO.</t>
    </r>
  </si>
  <si>
    <r>
      <t xml:space="preserve">Commodity</t>
    </r>
  </si>
  <si>
    <r>
      <t xml:space="preserve">Year</t>
    </r>
  </si>
  <si>
    <r>
      <t xml:space="preserve">Chassis No.</t>
    </r>
  </si>
  <si>
    <r>
      <t xml:space="preserve">Q'TY</t>
    </r>
  </si>
  <si>
    <r>
      <t xml:space="preserve">Unit Price</t>
    </r>
  </si>
  <si>
    <r>
      <t xml:space="preserve">AMOUNT</t>
    </r>
  </si>
  <si>
    <r>
      <t xml:space="preserve">Weight
(KG)</t>
    </r>
  </si>
  <si>
    <r>
      <t xml:space="preserve">CBM</t>
    </r>
  </si>
  <si>
    <r>
      <t xml:space="preserve">Shipping</t>
    </r>
  </si>
  <si>
    <r>
      <t xml:space="preserve">VOLKSWAGEN</t>
    </r>
  </si>
  <si>
    <r>
      <t xml:space="preserve">TIGUAN</t>
    </r>
  </si>
  <si>
    <r>
      <t xml:space="preserve">WVGZZZ5NZGW037130</t>
    </r>
  </si>
  <si>
    <r>
      <t xml:space="preserve">R0R0</t>
    </r>
  </si>
  <si>
    <r>
      <t xml:space="preserve">BENZ</t>
    </r>
  </si>
  <si>
    <r>
      <t xml:space="preserve">C220</t>
    </r>
  </si>
  <si>
    <r>
      <t xml:space="preserve">WDDWF0FB6GF236490</t>
    </r>
  </si>
  <si>
    <r>
      <t xml:space="preserve">인천</t>
    </r>
  </si>
  <si>
    <r>
      <t xml:space="preserve">마산</t>
    </r>
  </si>
  <si>
    <r>
      <t xml:space="preserve">마산 제 5부두</t>
    </r>
  </si>
  <si>
    <r>
      <t xml:space="preserve">05002102</t>
    </r>
  </si>
  <si>
    <r>
      <t xml:space="preserve">마산 제5부두 (05002102)</t>
    </r>
  </si>
  <si>
    <r>
      <t xml:space="preserve">인천내항 4부두</t>
    </r>
  </si>
  <si>
    <r>
      <t xml:space="preserve">0209999</t>
    </r>
  </si>
  <si>
    <r>
      <t xml:space="preserve">인천내항 4부두 (0209999)</t>
    </r>
  </si>
  <si>
    <r>
      <t xml:space="preserve">부산</t>
    </r>
  </si>
  <si>
    <r>
      <t xml:space="preserve">세방감천</t>
    </r>
  </si>
  <si>
    <r>
      <t xml:space="preserve">030-77078</t>
    </r>
  </si>
  <si>
    <r>
      <t xml:space="preserve">세방감천LME (030-77078)</t>
    </r>
  </si>
  <si>
    <r>
      <t xml:space="preserve">평택</t>
    </r>
  </si>
  <si>
    <r>
      <t xml:space="preserve">평택항</t>
    </r>
  </si>
  <si>
    <r>
      <t xml:space="preserve">01699999</t>
    </r>
  </si>
  <si>
    <r>
      <t xml:space="preserve">평택항 (01699999)</t>
    </r>
  </si>
  <si>
    <r>
      <t xml:space="preserve">평택 PIRT</t>
    </r>
  </si>
  <si>
    <r>
      <t xml:space="preserve">평택국제자동차부두</t>
    </r>
  </si>
  <si>
    <r>
      <t xml:space="preserve">01610038</t>
    </r>
  </si>
  <si>
    <r>
      <t xml:space="preserve">평택국제자동차부두 PIRT (1610038)</t>
    </r>
  </si>
  <si>
    <r>
      <t xml:space="preserve">평택 HPIT</t>
    </r>
  </si>
  <si>
    <r>
      <t xml:space="preserve">평택국제터미널</t>
    </r>
  </si>
  <si>
    <r>
      <t xml:space="preserve">01606020</t>
    </r>
  </si>
  <si>
    <r>
      <t xml:space="preserve">평택국제터미널 HPIT (01606020)</t>
    </r>
  </si>
  <si>
    <r>
      <t xml:space="preserve">동해</t>
    </r>
  </si>
  <si>
    <r>
      <t xml:space="preserve">동해항</t>
    </r>
  </si>
  <si>
    <r>
      <t xml:space="preserve">1099999</t>
    </r>
  </si>
  <si>
    <r>
      <t xml:space="preserve">동해항 (1099999)</t>
    </r>
  </si>
  <si>
    <r>
      <t xml:space="preserve">감천항 6부두</t>
    </r>
  </si>
  <si>
    <r>
      <t xml:space="preserve">03078003</t>
    </r>
  </si>
  <si>
    <r>
      <t xml:space="preserve">감천항 6부두 (030-78003)</t>
    </r>
  </si>
  <si>
    <r>
      <t xml:space="preserve"> SUB TOTAL :</t>
    </r>
  </si>
  <si>
    <r>
      <t xml:space="preserve">CFR</t>
    </r>
  </si>
  <si>
    <r>
      <t xml:space="preserve">OCEAN FREIGHT</t>
    </r>
  </si>
  <si>
    <r>
      <t xml:space="preserve">인천구항</t>
    </r>
  </si>
  <si>
    <r>
      <t xml:space="preserve">ICT ( 020-77-002 )</t>
    </r>
  </si>
  <si>
    <r>
      <t xml:space="preserve"> GRAND TOTAL :</t>
    </r>
  </si>
  <si>
    <r>
      <t xml:space="preserve">선광신항</t>
    </r>
  </si>
  <si>
    <r>
      <t xml:space="preserve"> SNCT  ( 020-12-014 )</t>
    </r>
  </si>
  <si>
    <r>
      <t xml:space="preserve">Signed By    </t>
    </r>
  </si>
  <si>
    <r>
      <t xml:space="preserve">한진인천</t>
    </r>
  </si>
  <si>
    <r>
      <t xml:space="preserve">HJIT  ( 020-12-019 )</t>
    </r>
  </si>
  <si>
    <r>
      <t xml:space="preserve">PCTC  ( 016-12-033 )</t>
    </r>
  </si>
  <si>
    <r>
      <t xml:space="preserve">평택동방아이포트</t>
    </r>
  </si>
  <si>
    <r>
      <t xml:space="preserve">PNCT  ( 016-12-002 )</t>
    </r>
  </si>
  <si>
    <r>
      <t xml:space="preserve"> DIESEL </t>
    </r>
  </si>
  <si>
    <r>
      <t xml:space="preserve">GASOLIN</t>
    </r>
  </si>
  <si>
    <r>
      <t xml:space="preserve">LPG</t>
    </r>
  </si>
</sst>
</file>

<file path=xl/styles.xml><?xml version="1.0" encoding="utf-8"?>
<styleSheet xmlns="http://schemas.openxmlformats.org/spreadsheetml/2006/main" xml:space="preserve">
  <numFmts count="13">
    <numFmt numFmtId="164" formatCode="_-* #,##0_-;\-* #,##0_-;_-* &quot;-&quot;_-;_-@_-"/>
    <numFmt numFmtId="165" formatCode="#,##0_ "/>
    <numFmt numFmtId="166" formatCode="_-\$* #,##0_ ;_-\$* \-#,##0\ ;_-\$* &quot;-&quot;??_ ;_-@_ "/>
    <numFmt numFmtId="167" formatCode="#,##0_ ;[Red]\-#,##0\ "/>
    <numFmt numFmtId="168" formatCode="\$#,##0;[Red]\-\$#,##0"/>
    <numFmt numFmtId="169" formatCode="[$-409]mmm&quot; . &quot;dd&quot; . &quot;yy;@"/>
    <numFmt numFmtId="170" formatCode="#,##0&quot; CAR(S)&quot;"/>
    <numFmt numFmtId="171" formatCode="\$#,##0_);\(\$#,##0\)"/>
    <numFmt numFmtId="172" formatCode="&quot;U$&quot;#,##0.\-"/>
    <numFmt numFmtId="173" formatCode="_-* #,##0.000_-;\-* #,##0.000_-;_-* &quot;-&quot;_-;_-@_-"/>
    <numFmt numFmtId="174" formatCode="&quot;U$&quot;#,##0.00"/>
    <numFmt numFmtId="175" formatCode="&quot;U$&quot;#,##0.##"/>
    <numFmt numFmtId="176" formatCode="_-&quot;₩&quot;* #,##0_-;\-&quot;₩&quot;* #,##0_-;_-&quot;₩&quot;* &quot;-&quot;_-;_-@_-"/>
  </numFmts>
  <fonts count="39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9"/>
      <color rgb="FF000000"/>
      <name val="나눔고딕"/>
    </font>
    <font>
      <b val="1"/>
      <i val="0"/>
      <strike val="0"/>
      <u val="none"/>
      <sz val="9"/>
      <color rgb="FF000000"/>
      <name val="나눔고딕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Unicode MS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808080"/>
      <name val="Arial Narrow"/>
    </font>
    <font>
      <b val="0"/>
      <i val="0"/>
      <strike val="0"/>
      <u val="none"/>
      <sz val="8"/>
      <color rgb="FF0070C0"/>
      <name val="Arial Narrow"/>
    </font>
    <font>
      <b val="0"/>
      <i val="0"/>
      <strike val="0"/>
      <u val="none"/>
      <sz val="9"/>
      <color rgb="FF0070C0"/>
      <name val="Arial Narrow"/>
    </font>
    <font>
      <b val="0"/>
      <i val="0"/>
      <strike val="0"/>
      <u val="none"/>
      <sz val="8"/>
      <color rgb="FFFF0000"/>
      <name val="Arial Narrow"/>
    </font>
    <font>
      <b val="1"/>
      <i val="0"/>
      <strike val="0"/>
      <u val="none"/>
      <sz val="10"/>
      <color rgb="FFFF0000"/>
      <name val="Arial Narrow"/>
    </font>
    <font>
      <b val="1"/>
      <i val="0"/>
      <strike val="0"/>
      <u val="single"/>
      <sz val="10"/>
      <color rgb="FFFF0000"/>
      <name val="Arial Narrow"/>
    </font>
    <font>
      <b val="1"/>
      <i val="0"/>
      <strike val="0"/>
      <u val="none"/>
      <sz val="10"/>
      <color rgb="FF000000"/>
      <name val="맑은 고딕"/>
      <scheme val="minor"/>
    </font>
    <font>
      <b val="1"/>
      <i val="0"/>
      <strike val="0"/>
      <u val="none"/>
      <sz val="11"/>
      <color rgb="FF000000"/>
      <name val="맑은 고딕"/>
      <scheme val="minor"/>
    </font>
    <font>
      <b val="1"/>
      <i val="0"/>
      <strike val="0"/>
      <u val="none"/>
      <sz val="11"/>
      <color rgb="00000000"/>
      <name val="맑은 고딕"/>
      <scheme val="minor"/>
    </font>
    <font>
      <b val="1"/>
      <i val="0"/>
      <strike val="0"/>
      <u val="none"/>
      <sz val="11"/>
      <color rgb="FF000000"/>
      <name val="맑은 고딕"/>
      <scheme val="major"/>
    </font>
    <font>
      <b val="1"/>
      <i val="0"/>
      <strike val="0"/>
      <u val="none"/>
      <sz val="11"/>
      <color rgb="FF000000"/>
      <name val="나눔고딕"/>
    </font>
    <font>
      <b val="1"/>
      <i val="0"/>
      <strike val="0"/>
      <u val="none"/>
      <sz val="11"/>
      <color rgb="FF000000"/>
      <name val="굴림"/>
    </font>
    <font>
      <b val="0"/>
      <i val="0"/>
      <strike val="0"/>
      <u val="none"/>
      <sz val="11"/>
      <color rgb="FF000000"/>
      <name val="돋움"/>
    </font>
    <font>
      <b val="1"/>
      <i val="0"/>
      <strike val="0"/>
      <u val="single"/>
      <sz val="11"/>
      <color rgb="FF000000"/>
      <name val="맑은 고딕"/>
    </font>
    <font>
      <b val="1"/>
      <i val="0"/>
      <strike val="0"/>
      <u val="none"/>
      <sz val="16"/>
      <color rgb="FFFF0000"/>
      <name val="Arial Narrow"/>
    </font>
    <font>
      <b val="1"/>
      <i val="0"/>
      <strike val="0"/>
      <u val="none"/>
      <sz val="12"/>
      <color rgb="FFFF0000"/>
      <name val="Arial Unicode MS"/>
    </font>
    <font>
      <b val="1"/>
      <i val="0"/>
      <strike val="0"/>
      <u val="none"/>
      <sz val="12"/>
      <color rgb="FFFF0000"/>
      <name val="나눔고딕"/>
    </font>
    <font>
      <b val="1"/>
      <i val="0"/>
      <strike val="0"/>
      <u val="none"/>
      <sz val="11"/>
      <color rgb="FFFF0000"/>
      <name val="Arial Narrow"/>
    </font>
    <font>
      <b val="1"/>
      <i val="1"/>
      <strike val="0"/>
      <u val="none"/>
      <sz val="18"/>
      <color rgb="FF000000"/>
      <name val="Arial Narrow"/>
    </font>
    <font>
      <b val="1"/>
      <i val="0"/>
      <strike val="0"/>
      <u val="none"/>
      <sz val="14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5"/>
      <color rgb="FF000000"/>
      <name val="맑은 고딕"/>
    </font>
    <font>
      <b val="1"/>
      <i val="0"/>
      <strike val="0"/>
      <u val="single"/>
      <sz val="11"/>
      <color rgb="FF000000"/>
      <name val="맑은 고딕"/>
      <scheme val="minor"/>
    </font>
    <font>
      <b val="1"/>
      <i val="0"/>
      <strike val="0"/>
      <u val="single"/>
      <sz val="16"/>
      <color rgb="FF000000"/>
      <name val="맑은 고딕"/>
      <scheme val="major"/>
    </font>
    <font>
      <b val="1"/>
      <i val="0"/>
      <strike val="0"/>
      <u val="none"/>
      <sz val="16"/>
      <color rgb="FFFF0000"/>
      <name val="Arial Unicode MS"/>
    </font>
    <font>
      <b val="0"/>
      <i val="0"/>
      <strike val="0"/>
      <u val="none"/>
      <sz val="11"/>
      <color rgb="FF808080"/>
      <name val="굴림"/>
    </font>
    <font>
      <b val="0"/>
      <i val="0"/>
      <strike val="0"/>
      <u val="none"/>
      <sz val="11"/>
      <color rgb="FF808080"/>
      <name val="Arial Unicode MS"/>
    </font>
    <font>
      <b val="0"/>
      <i val="0"/>
      <strike val="0"/>
      <u val="none"/>
      <sz val="11"/>
      <color rgb="FF000000"/>
      <name val="굴림"/>
    </font>
    <font>
      <b val="1"/>
      <i val="0"/>
      <strike val="0"/>
      <u val="none"/>
      <sz val="16"/>
      <color rgb="FFFF0000"/>
      <name val="HY견고딕"/>
    </font>
    <font>
      <b val="1"/>
      <i val="0"/>
      <strike val="0"/>
      <u val="none"/>
      <sz val="15"/>
      <color rgb="FFFF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00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7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164" fillId="0" borderId="1" applyFont="1" applyNumberFormat="1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165" fillId="0" borderId="1" applyFont="1" applyNumberFormat="1" applyFill="0" applyBorder="1" applyAlignment="1">
      <alignment horizontal="right" vertical="center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true" shrinkToFit="false"/>
    </xf>
    <xf xfId="0" fontId="5" numFmtId="166" fillId="0" borderId="1" applyFont="1" applyNumberFormat="1" applyFill="0" applyBorder="1" applyAlignment="1">
      <alignment horizontal="right" vertical="center" textRotation="0" wrapText="false" shrinkToFit="false"/>
    </xf>
    <xf xfId="0" fontId="5" numFmtId="166" fillId="0" borderId="2" applyFont="1" applyNumberFormat="1" applyFill="0" applyBorder="1" applyAlignment="1">
      <alignment horizontal="right" vertical="center" textRotation="0" wrapText="false" shrinkToFit="false"/>
    </xf>
    <xf xfId="0" fontId="7" numFmtId="167" fillId="0" borderId="0" applyFont="1" applyNumberFormat="1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10" numFmtId="0" fillId="0" borderId="3" applyFont="1" applyNumberFormat="0" applyFill="0" applyBorder="1" applyAlignment="1">
      <alignment vertical="center" textRotation="0" wrapText="false" shrinkToFit="false"/>
    </xf>
    <xf xfId="0" fontId="11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true" shrinkToFit="false"/>
    </xf>
    <xf xfId="0" fontId="12" numFmtId="0" fillId="2" borderId="5" applyFont="1" applyNumberFormat="0" applyFill="1" applyBorder="1" applyAlignment="1">
      <alignment horizontal="right" vertical="center" textRotation="0" wrapText="false" shrinkToFit="false"/>
    </xf>
    <xf xfId="0" fontId="1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0" borderId="7" applyFont="1" applyNumberFormat="0" applyFill="0" applyBorder="1" applyAlignment="1">
      <alignment vertical="center" textRotation="0" wrapText="false" shrinkToFit="false"/>
    </xf>
    <xf xfId="0" fontId="5" numFmtId="168" fillId="0" borderId="8" applyFont="1" applyNumberFormat="1" applyFill="0" applyBorder="1" applyAlignment="1">
      <alignment horizontal="right" vertical="center" textRotation="0" wrapText="false" shrinkToFit="false"/>
    </xf>
    <xf xfId="0" fontId="5" numFmtId="0" fillId="0" borderId="4" applyFont="1" applyNumberFormat="0" applyFill="0" applyBorder="1" applyAlignment="1">
      <alignment vertical="center" textRotation="0" wrapText="false" shrinkToFit="false"/>
    </xf>
    <xf xfId="0" fontId="5" numFmtId="166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false" shrinkToFit="false"/>
    </xf>
    <xf xfId="0" fontId="5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10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" numFmtId="0" fillId="0" borderId="7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tru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4" numFmtId="168" fillId="0" borderId="3" applyFont="1" applyNumberFormat="1" applyFill="0" applyBorder="1" applyAlignment="1">
      <alignment horizontal="right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horizontal="center" vertical="center" textRotation="0" wrapText="false" shrinkToFit="false"/>
    </xf>
    <xf xfId="0" fontId="18" numFmtId="0" fillId="0" borderId="15" applyFont="1" applyNumberFormat="0" applyFill="0" applyBorder="1" applyAlignment="1">
      <alignment vertical="center" textRotation="0" wrapText="false" shrinkToFit="true"/>
    </xf>
    <xf xfId="0" fontId="1" numFmtId="49" fillId="0" borderId="16" applyFont="1" applyNumberFormat="1" applyFill="0" applyBorder="1" applyAlignment="1">
      <alignment horizontal="right" vertical="center" textRotation="0" wrapText="false" shrinkToFit="true"/>
    </xf>
    <xf xfId="0" fontId="19" numFmtId="0" fillId="0" borderId="15" applyFont="1" applyNumberFormat="0" applyFill="0" applyBorder="1" applyAlignment="1">
      <alignment vertical="center" textRotation="0" wrapText="false" shrinkToFit="true"/>
    </xf>
    <xf xfId="0" fontId="19" numFmtId="0" fillId="0" borderId="17" applyFont="1" applyNumberFormat="0" applyFill="0" applyBorder="1" applyAlignment="1">
      <alignment vertical="center" textRotation="0" wrapText="false" shrinkToFit="true"/>
    </xf>
    <xf xfId="0" fontId="1" numFmtId="49" fillId="0" borderId="18" applyFont="1" applyNumberFormat="1" applyFill="0" applyBorder="1" applyAlignment="1">
      <alignment horizontal="right" vertical="center" textRotation="0" wrapText="false" shrinkToFit="true"/>
    </xf>
    <xf xfId="0" fontId="16" numFmtId="0" fillId="4" borderId="3" applyFont="1" applyNumberFormat="0" applyFill="1" applyBorder="1" applyAlignment="1">
      <alignment horizontal="center" vertical="center" textRotation="0" wrapText="false" shrinkToFit="false"/>
    </xf>
    <xf xfId="0" fontId="15" numFmtId="0" fillId="4" borderId="11" applyFont="1" applyNumberFormat="0" applyFill="1" applyBorder="1" applyAlignment="1">
      <alignment horizontal="center" vertical="center" textRotation="0" wrapText="false" shrinkToFit="true"/>
    </xf>
    <xf xfId="0" fontId="14" numFmtId="0" fillId="4" borderId="3" applyFont="1" applyNumberFormat="0" applyFill="1" applyBorder="1" applyAlignment="1">
      <alignment horizontal="center" vertical="center" textRotation="0" wrapText="false" shrinkToFit="false"/>
    </xf>
    <xf xfId="0" fontId="14" numFmtId="168" fillId="4" borderId="3" applyFont="1" applyNumberFormat="1" applyFill="1" applyBorder="1" applyAlignment="1">
      <alignment horizontal="right" vertical="center" textRotation="0" wrapText="false" shrinkToFit="false"/>
    </xf>
    <xf xfId="0" fontId="16" numFmtId="0" fillId="4" borderId="3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1" numFmtId="49" fillId="0" borderId="4" applyFont="1" applyNumberFormat="1" applyFill="0" applyBorder="1" applyAlignment="1">
      <alignment horizontal="center" vertical="center" textRotation="0" wrapText="true" shrinkToFit="false"/>
    </xf>
    <xf xfId="0" fontId="22" numFmtId="0" fillId="0" borderId="8" applyFont="1" applyNumberFormat="0" applyFill="0" applyBorder="1" applyAlignment="1">
      <alignment horizontal="center" vertical="center" textRotation="0" wrapText="true" shrinkToFit="false"/>
    </xf>
    <xf xfId="0" fontId="23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4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6" applyFont="1" applyNumberFormat="0" applyFill="1" applyBorder="1" applyAlignment="1">
      <alignment horizontal="center" vertical="center" textRotation="0" wrapText="false" shrinkToFit="false"/>
    </xf>
    <xf xfId="0" fontId="26" numFmtId="0" fillId="0" borderId="1" applyFont="1" applyNumberFormat="0" applyFill="0" applyBorder="1" applyAlignment="1">
      <alignment horizontal="center" vertical="center" textRotation="0" wrapText="false" shrinkToFit="false"/>
    </xf>
    <xf xfId="0" fontId="27" numFmtId="49" fillId="0" borderId="7" applyFont="1" applyNumberFormat="1" applyFill="0" applyBorder="1" applyAlignment="1">
      <alignment horizontal="center" vertical="center" textRotation="0" wrapText="false" shrinkToFit="false"/>
    </xf>
    <xf xfId="0" fontId="28" numFmtId="169" fillId="0" borderId="8" applyFont="1" applyNumberFormat="1" applyFill="0" applyBorder="1" applyAlignment="1">
      <alignment horizontal="center" vertical="center" textRotation="0" wrapText="false" shrinkToFit="false"/>
    </xf>
    <xf xfId="0" fontId="10" numFmtId="0" fillId="0" borderId="10" applyFont="1" applyNumberFormat="0" applyFill="0" applyBorder="1" applyAlignment="1">
      <alignment horizontal="left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10" numFmtId="0" fillId="0" borderId="19" applyFont="1" applyNumberFormat="0" applyFill="0" applyBorder="1" applyAlignment="1">
      <alignment horizontal="left" vertical="center" textRotation="0" wrapText="false" shrinkToFit="false"/>
    </xf>
    <xf xfId="0" fontId="0" numFmtId="0" fillId="0" borderId="20" applyFont="0" applyNumberFormat="0" applyFill="0" applyBorder="1" applyAlignment="1">
      <alignment vertical="bottom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10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5" numFmtId="49" fillId="0" borderId="3" applyFont="1" applyNumberFormat="1" applyFill="0" applyBorder="1" applyAlignment="1">
      <alignment horizontal="center" vertical="center" textRotation="0" wrapText="false" shrinkToFit="false"/>
    </xf>
    <xf xfId="0" fontId="4" numFmtId="49" fillId="0" borderId="23" applyFont="1" applyNumberFormat="1" applyFill="0" applyBorder="1" applyAlignment="1">
      <alignment horizontal="left" vertical="top" textRotation="0" wrapText="true" shrinkToFit="false" indent="1"/>
    </xf>
    <xf xfId="0" fontId="0" numFmtId="0" fillId="0" borderId="10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29" numFmtId="49" fillId="4" borderId="23" applyFont="1" applyNumberFormat="1" applyFill="1" applyBorder="1" applyAlignment="1">
      <alignment horizontal="left" vertical="center" textRotation="0" wrapText="true" shrinkToFit="false" indent="1"/>
    </xf>
    <xf xfId="0" fontId="30" numFmtId="49" fillId="0" borderId="24" applyFont="1" applyNumberFormat="1" applyFill="0" applyBorder="1" applyAlignment="1">
      <alignment horizontal="center" vertical="center" textRotation="0" wrapText="true" shrinkToFit="false"/>
    </xf>
    <xf xfId="0" fontId="31" numFmtId="49" fillId="0" borderId="10" applyFont="1" applyNumberFormat="1" applyFill="0" applyBorder="1" applyAlignment="1">
      <alignment horizontal="center" vertical="center" textRotation="0" wrapText="true" shrinkToFit="false"/>
    </xf>
    <xf xfId="0" fontId="32" numFmtId="0" fillId="4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3" applyFont="1" applyNumberFormat="0" applyFill="0" applyBorder="1" applyAlignment="1">
      <alignment horizontal="center" vertical="center" textRotation="0" wrapText="false" shrinkToFit="false"/>
    </xf>
    <xf xfId="0" fontId="33" numFmtId="0" fillId="4" borderId="10" applyFont="1" applyNumberFormat="0" applyFill="1" applyBorder="1" applyAlignment="1">
      <alignment horizontal="center" vertical="center" textRotation="0" wrapText="true" shrinkToFit="false"/>
    </xf>
    <xf xfId="0" fontId="5" numFmtId="49" fillId="4" borderId="23" applyFont="1" applyNumberFormat="1" applyFill="1" applyBorder="1" applyAlignment="1">
      <alignment horizontal="center" vertical="center" textRotation="0" wrapText="false" shrinkToFit="false"/>
    </xf>
    <xf xfId="0" fontId="25" numFmtId="0" fillId="0" borderId="23" applyFont="1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13" numFmtId="170" fillId="2" borderId="6" applyFont="1" applyNumberFormat="1" applyFill="1" applyBorder="1" applyAlignment="1">
      <alignment horizontal="center" vertical="center" textRotation="0" wrapText="true" shrinkToFit="false"/>
    </xf>
    <xf xfId="0" fontId="13" numFmtId="171" fillId="2" borderId="6" applyFont="1" applyNumberFormat="1" applyFill="1" applyBorder="1" applyAlignment="1">
      <alignment horizontal="center" vertical="center" textRotation="0" wrapText="false" shrinkToFit="false"/>
    </xf>
    <xf xfId="0" fontId="13" numFmtId="172" fillId="2" borderId="6" applyFont="1" applyNumberFormat="1" applyFill="1" applyBorder="1" applyAlignment="1">
      <alignment horizontal="center" vertical="center" textRotation="0" wrapText="true" shrinkToFit="false"/>
    </xf>
    <xf xfId="0" fontId="13" numFmtId="164" fillId="2" borderId="22" applyFont="1" applyNumberFormat="1" applyFill="1" applyBorder="1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vertical="center" textRotation="0" wrapText="false" shrinkToFit="false"/>
    </xf>
    <xf xfId="0" fontId="2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5" numFmtId="164" fillId="4" borderId="5" applyFont="1" applyNumberFormat="1" applyFill="1" applyBorder="1" applyAlignment="1">
      <alignment horizontal="center" vertical="center" textRotation="0" wrapText="false" shrinkToFit="true"/>
    </xf>
    <xf xfId="0" fontId="15" numFmtId="168" fillId="4" borderId="22" applyFont="1" applyNumberFormat="1" applyFill="1" applyBorder="1" applyAlignment="1">
      <alignment horizontal="center" vertical="center" textRotation="0" wrapText="false" shrinkToFit="true"/>
    </xf>
    <xf xfId="0" fontId="14" numFmtId="167" fillId="4" borderId="3" applyFont="1" applyNumberFormat="1" applyFill="1" applyBorder="1" applyAlignment="1">
      <alignment horizontal="right" vertical="center" textRotation="0" wrapText="false" shrinkToFit="false"/>
    </xf>
    <xf xfId="0" fontId="14" numFmtId="164" fillId="4" borderId="3" applyFont="1" applyNumberFormat="1" applyFill="1" applyBorder="1" applyAlignment="1">
      <alignment vertical="center" textRotation="0" wrapText="false" shrinkToFit="false"/>
    </xf>
    <xf xfId="0" fontId="14" numFmtId="173" fillId="4" borderId="3" applyFont="1" applyNumberFormat="1" applyFill="1" applyBorder="1" applyAlignment="1">
      <alignment vertical="center" textRotation="0" wrapText="false" shrinkToFit="false"/>
    </xf>
    <xf xfId="0" fontId="14" numFmtId="168" fillId="4" borderId="3" applyFont="1" applyNumberFormat="1" applyFill="1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4" borderId="3" applyFont="1" applyNumberFormat="1" applyFill="1" applyBorder="1" applyAlignment="1">
      <alignment horizontal="right" vertical="center" textRotation="0" wrapText="false" shrinkToFit="false"/>
    </xf>
    <xf xfId="0" fontId="14" numFmtId="164" fillId="4" borderId="3" applyFont="1" applyNumberFormat="1" applyFill="1" applyBorder="1" applyAlignment="1">
      <alignment vertical="center" textRotation="0" wrapText="false" shrinkToFit="false"/>
    </xf>
    <xf xfId="0" fontId="14" numFmtId="173" fillId="4" borderId="3" applyFont="1" applyNumberFormat="1" applyFill="1" applyBorder="1" applyAlignment="1">
      <alignment vertical="center" textRotation="0" wrapText="false" shrinkToFit="false"/>
    </xf>
    <xf xfId="0" fontId="14" numFmtId="168" fillId="4" borderId="3" applyFont="1" applyNumberFormat="1" applyFill="1" applyBorder="1" applyAlignment="1">
      <alignment vertical="center" textRotation="0" wrapText="false" shrinkToFit="false"/>
    </xf>
    <xf xfId="0" fontId="6" numFmtId="164" fillId="0" borderId="3" applyFont="1" applyNumberFormat="1" applyFill="0" applyBorder="1" applyAlignment="1">
      <alignment vertical="center" textRotation="0" wrapText="false" shrinkToFit="true"/>
    </xf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5" numFmtId="164" fillId="0" borderId="5" applyFont="1" applyNumberFormat="1" applyFill="0" applyBorder="1" applyAlignment="1">
      <alignment horizontal="center" vertical="center" textRotation="0" wrapText="false" shrinkToFit="true"/>
    </xf>
    <xf xfId="0" fontId="15" numFmtId="168" fillId="0" borderId="22" applyFont="1" applyNumberFormat="1" applyFill="0" applyBorder="1" applyAlignment="1">
      <alignment horizontal="center" vertical="center" textRotation="0" wrapText="false" shrinkToFit="tru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6" numFmtId="164" fillId="0" borderId="3" applyFont="1" applyNumberFormat="1" applyFill="0" applyBorder="1" applyAlignment="1">
      <alignment vertical="center" textRotation="0" wrapText="false" shrinkToFit="tru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6" numFmtId="164" fillId="0" borderId="25" applyFont="1" applyNumberFormat="1" applyFill="0" applyBorder="1" applyAlignment="1">
      <alignment vertical="center" textRotation="0" wrapText="false" shrinkToFit="true"/>
    </xf>
    <xf xfId="0" fontId="5" numFmtId="164" fillId="0" borderId="1" applyFont="1" applyNumberFormat="1" applyFill="0" applyBorder="1" applyAlignment="1">
      <alignment horizontal="center" vertical="center" textRotation="0" wrapText="false" shrinkToFit="false"/>
    </xf>
    <xf xfId="0" fontId="37" numFmtId="0" fillId="4" borderId="26" applyFont="1" applyNumberFormat="0" applyFill="1" applyBorder="1" applyAlignment="1">
      <alignment horizontal="center" vertical="center" textRotation="0" wrapText="false" shrinkToFit="false"/>
    </xf>
    <xf xfId="0" fontId="38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166" fillId="0" borderId="0" applyFont="1" applyNumberFormat="1" applyFill="0" applyBorder="0" applyAlignment="1">
      <alignment horizontal="right" vertical="center" textRotation="0" wrapText="false" shrinkToFit="false"/>
    </xf>
    <xf xfId="0" fontId="5" numFmtId="174" fillId="0" borderId="0" applyFont="1" applyNumberFormat="1" applyFill="0" applyBorder="0" applyAlignment="1">
      <alignment horizontal="right" vertical="center" textRotation="0" wrapText="false" shrinkToFit="false"/>
    </xf>
    <xf xfId="0" fontId="5" numFmtId="168" fillId="0" borderId="10" applyFont="1" applyNumberFormat="1" applyFill="0" applyBorder="1" applyAlignment="1">
      <alignment vertical="center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0" numFmtId="0" fillId="0" borderId="29" applyFont="0" applyNumberFormat="0" applyFill="0" applyBorder="1" applyAlignment="1">
      <alignment vertical="bottom" textRotation="0" wrapText="false" shrinkToFit="false"/>
    </xf>
    <xf xfId="0" fontId="5" numFmtId="175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vertical="bottom" textRotation="0" wrapText="false" shrinkToFit="false"/>
    </xf>
    <xf xfId="0" fontId="5" numFmtId="176" fillId="0" borderId="2" applyFont="1" applyNumberFormat="1" applyFill="0" applyBorder="1" applyAlignment="1">
      <alignment horizontal="right" vertical="center" textRotation="0" wrapText="false" shrinkToFit="false"/>
    </xf>
    <xf xfId="0" fontId="5" numFmtId="168" fillId="0" borderId="30" applyFont="1" applyNumberFormat="1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71601889e93fe774939bbaa8e8f38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400050</xdr:colOff>
      <xdr:row>54</xdr:row>
      <xdr:rowOff>114300</xdr:rowOff>
    </xdr:from>
    <xdr:to>
      <xdr:col>11</xdr:col>
      <xdr:colOff>85725</xdr:colOff>
      <xdr:row>59</xdr:row>
      <xdr:rowOff>152400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762250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G61"/>
  <sheetViews>
    <sheetView tabSelected="1" workbookViewId="0" zoomScale="80" zoomScaleNormal="90" showZeros="0" view="pageBreakPreview" showGridLines="true" showRowColHeaders="1" topLeftCell="A11">
      <selection activeCell="I54" sqref="I54"/>
    </sheetView>
  </sheetViews>
  <sheetFormatPr defaultRowHeight="14.4" defaultColWidth="9" outlineLevelRow="0" outlineLevelCol="0"/>
  <cols>
    <col min="1" max="1" width="0.875" customWidth="true" style="2"/>
    <col min="2" max="2" width="4.25" customWidth="true" style="1"/>
    <col min="3" max="3" width="10.625" customWidth="true" style="1"/>
    <col min="4" max="4" width="10.625" customWidth="true" style="1"/>
    <col min="5" max="5" width="8.625" customWidth="true" style="1"/>
    <col min="6" max="6" width="21.625" customWidth="true" style="1"/>
    <col min="7" max="7" width="7.75" customWidth="true" style="1"/>
    <col min="8" max="8" width="11.375" customWidth="true" style="1"/>
    <col min="9" max="9" width="12.5" customWidth="true" style="1"/>
    <col min="10" max="10" width="8.25" customWidth="true" style="1"/>
    <col min="11" max="11" width="8.25" customWidth="true" style="1"/>
    <col min="12" max="12" width="10.375" customWidth="true" style="1"/>
    <col min="13" max="13" width="9" style="1"/>
    <col min="14" max="14" width="9" style="1"/>
    <col min="15" max="15" width="9" style="1"/>
    <col min="16" max="16" width="9" style="1"/>
    <col min="17" max="17" width="14.125" customWidth="true" style="1"/>
    <col min="18" max="18" width="9.375" customWidth="true" style="1"/>
    <col min="19" max="19" width="9" style="1"/>
  </cols>
  <sheetData>
    <row r="1" spans="1:33" customHeight="1" ht="47.25" s="88" customFormat="1">
      <c r="B1" s="83" t="inlineStr">
        <is>
          <r>
            <t xml:space="preserve">COMMERCIAL INVOICE &amp; PACKING LIST</t>
          </r>
        </is>
      </c>
      <c r="C1" s="89"/>
      <c r="D1" s="89"/>
      <c r="E1" s="89"/>
      <c r="F1" s="89"/>
      <c r="G1" s="89"/>
      <c r="H1" s="89"/>
      <c r="I1" s="89"/>
      <c r="J1" s="89"/>
      <c r="K1" s="89"/>
      <c r="L1" s="89"/>
      <c r="AG1" s="88"/>
    </row>
    <row r="2" spans="1:33" customHeight="1" ht="18" s="88" customFormat="1">
      <c r="B2" s="90" t="inlineStr">
        <is>
          <r>
            <t xml:space="preserve">1) Shipper / Exporter</t>
          </r>
        </is>
      </c>
      <c r="C2" s="91"/>
      <c r="D2" s="91"/>
      <c r="E2" s="91"/>
      <c r="F2" s="92"/>
      <c r="G2" s="93" t="inlineStr">
        <is>
          <r>
            <t xml:space="preserve">8) No. &amp; date of invoice</t>
          </r>
        </is>
      </c>
      <c r="H2" s="91"/>
      <c r="I2" s="91"/>
      <c r="J2" s="91"/>
      <c r="K2" s="91"/>
      <c r="L2" s="92"/>
      <c r="N2" s="65" t="inlineStr">
        <is>
          <r>
            <t xml:space="preserve">INCHOEN, KOREA</t>
          </r>
        </is>
      </c>
      <c r="O2" s="94"/>
      <c r="P2" s="95" t="inlineStr">
        <is>
          <r>
            <t xml:space="preserve">AZERBAIJAN</t>
          </r>
        </is>
      </c>
      <c r="Q2" s="94"/>
      <c r="T2" s="15" t="inlineStr">
        <is>
          <r>
            <t xml:space="preserve">INCHOEN, KOREA</t>
          </r>
        </is>
      </c>
      <c r="U2" s="15"/>
      <c r="V2" s="15" t="inlineStr">
        <is>
          <r>
            <t xml:space="preserve">AZERBAIJAN</t>
          </r>
        </is>
      </c>
      <c r="AG2" s="88"/>
    </row>
    <row r="3" spans="1:33" customHeight="1" ht="15.75" s="88" customFormat="1">
      <c r="B3" s="96" t="s">
        <v>5</v>
      </c>
      <c r="F3" s="97"/>
      <c r="G3" s="84"/>
      <c r="J3" s="85" t="str">
        <f>TODAY()</f>
        <v>0</v>
      </c>
      <c r="L3" s="97"/>
      <c r="N3" s="65" t="inlineStr">
        <is>
          <r>
            <t xml:space="preserve">MASAN, KOREA</t>
          </r>
        </is>
      </c>
      <c r="O3" s="94"/>
      <c r="P3" s="95" t="inlineStr">
        <is>
          <r>
            <t xml:space="preserve">DURRESS,  ALBANIA</t>
          </r>
        </is>
      </c>
      <c r="Q3" s="94"/>
      <c r="T3" s="15" t="inlineStr">
        <is>
          <r>
            <t xml:space="preserve">MASAN, KOREA</t>
          </r>
        </is>
      </c>
      <c r="U3" s="15"/>
      <c r="V3" s="15" t="inlineStr">
        <is>
          <r>
            <t xml:space="preserve">DURRESS,  ALBANIA</t>
          </r>
        </is>
      </c>
      <c r="AG3" s="88"/>
    </row>
    <row r="4" spans="1:33" customHeight="1" ht="15.75" s="88" customFormat="1">
      <c r="B4" s="98"/>
      <c r="F4" s="97"/>
      <c r="G4" s="99"/>
      <c r="H4" s="89"/>
      <c r="I4" s="89"/>
      <c r="J4" s="89"/>
      <c r="K4" s="89"/>
      <c r="L4" s="100"/>
      <c r="N4" s="66" t="inlineStr">
        <is>
          <r>
            <t xml:space="preserve">PYEONGTAEK, KOREA</t>
          </r>
        </is>
      </c>
      <c r="O4" s="94"/>
      <c r="P4" s="95" t="inlineStr">
        <is>
          <r>
            <t xml:space="preserve">KYRGYZSTAN</t>
          </r>
        </is>
      </c>
      <c r="Q4" s="94"/>
      <c r="T4" s="15" t="inlineStr">
        <is>
          <r>
            <t xml:space="preserve">PYEONGTAEK, KOREA</t>
          </r>
        </is>
      </c>
      <c r="U4" s="15"/>
      <c r="V4" s="15" t="inlineStr">
        <is>
          <r>
            <t xml:space="preserve">KYRGYZSTAN</t>
          </r>
        </is>
      </c>
      <c r="AG4" s="88"/>
    </row>
    <row r="5" spans="1:33" customHeight="1" ht="18" s="88" customFormat="1">
      <c r="B5" s="98"/>
      <c r="F5" s="97"/>
      <c r="G5" s="86" t="inlineStr">
        <is>
          <r>
            <t xml:space="preserve">9) No. &amp; date of L/C</t>
          </r>
        </is>
      </c>
      <c r="L5" s="97"/>
      <c r="N5" s="66" t="inlineStr">
        <is>
          <r>
            <t xml:space="preserve"> </t>
          </r>
        </is>
      </c>
      <c r="O5" s="94"/>
      <c r="P5" s="95" t="inlineStr">
        <is>
          <r>
            <t xml:space="preserve">VLADIVOSTOK,  RUSSIA</t>
          </r>
        </is>
      </c>
      <c r="Q5" s="94"/>
      <c r="T5" s="15" t="inlineStr">
        <is>
          <r>
            <t xml:space="preserve">BUSAN, KOREA</t>
          </r>
        </is>
      </c>
      <c r="U5" s="15"/>
      <c r="V5" s="15" t="inlineStr">
        <is>
          <r>
            <t xml:space="preserve">VLADIVOSTOK,  RUSSIA</t>
          </r>
        </is>
      </c>
      <c r="AG5" s="88"/>
    </row>
    <row r="6" spans="1:33" customHeight="1" ht="15.75" s="88" customFormat="1">
      <c r="B6" s="98"/>
      <c r="F6" s="97"/>
      <c r="G6" s="87" t="inlineStr">
        <is>
          <r>
            <t xml:space="preserve">TTR BASE</t>
          </r>
        </is>
      </c>
      <c r="L6" s="97"/>
      <c r="N6" s="66" t="inlineStr">
        <is>
          <r>
            <t xml:space="preserve"> </t>
          </r>
        </is>
      </c>
      <c r="O6" s="94"/>
      <c r="P6" s="95" t="inlineStr">
        <is>
          <r>
            <t xml:space="preserve">NAKHODKA,  RUSSIA</t>
          </r>
        </is>
      </c>
      <c r="Q6" s="94"/>
      <c r="T6" s="15"/>
      <c r="U6" s="15"/>
      <c r="V6" s="15" t="inlineStr">
        <is>
          <r>
            <t xml:space="preserve">NAKHODKA,  RUSSIA</t>
          </r>
        </is>
      </c>
      <c r="AG6" s="88"/>
    </row>
    <row r="7" spans="1:33" customHeight="1" ht="15.75" s="88" customFormat="1">
      <c r="B7" s="99"/>
      <c r="C7" s="89"/>
      <c r="D7" s="89"/>
      <c r="E7" s="89"/>
      <c r="F7" s="100"/>
      <c r="G7" s="89"/>
      <c r="H7" s="89"/>
      <c r="I7" s="89"/>
      <c r="J7" s="89"/>
      <c r="K7" s="89"/>
      <c r="L7" s="100"/>
      <c r="N7" s="66" t="inlineStr">
        <is>
          <r>
            <t xml:space="preserve"> </t>
          </r>
        </is>
      </c>
      <c r="O7" s="94"/>
      <c r="P7" s="95" t="inlineStr">
        <is>
          <r>
            <t xml:space="preserve">KAZAKHSTAN</t>
          </r>
        </is>
      </c>
      <c r="Q7" s="94"/>
      <c r="T7" s="15"/>
      <c r="U7" s="15"/>
      <c r="V7" s="15" t="inlineStr">
        <is>
          <r>
            <t xml:space="preserve">KAZAKHSTAN</t>
          </r>
        </is>
      </c>
      <c r="AG7" s="88"/>
    </row>
    <row r="8" spans="1:33" customHeight="1" ht="18" s="88" customFormat="1">
      <c r="B8" s="90" t="inlineStr">
        <is>
          <r>
            <t xml:space="preserve">2) For account &amp; risk of Messers.</t>
          </r>
        </is>
      </c>
      <c r="C8" s="91"/>
      <c r="D8" s="91"/>
      <c r="E8" s="91"/>
      <c r="F8" s="92"/>
      <c r="G8" s="93" t="inlineStr">
        <is>
          <r>
            <t xml:space="preserve">10) L/C issuing bank</t>
          </r>
        </is>
      </c>
      <c r="H8" s="91"/>
      <c r="I8" s="91"/>
      <c r="J8" s="91"/>
      <c r="K8" s="91"/>
      <c r="L8" s="92"/>
      <c r="N8" s="66"/>
      <c r="O8" s="94"/>
      <c r="P8" s="95" t="inlineStr">
        <is>
          <r>
            <t xml:space="preserve">BURGAS,  BULGARIA</t>
          </r>
        </is>
      </c>
      <c r="Q8" s="94"/>
      <c r="T8" s="15"/>
      <c r="U8" s="15"/>
      <c r="V8" s="15" t="inlineStr">
        <is>
          <r>
            <t xml:space="preserve">BURGAS,  BULGARIA</t>
          </r>
        </is>
      </c>
      <c r="AG8" s="88"/>
    </row>
    <row r="9" spans="1:33" customHeight="1" ht="48.75" s="88" customFormat="1">
      <c r="B9" s="101" t="inlineStr">
        <is>
          <r>
            <t xml:space="preserve">Cereku Andi
J80525075Q
Durres, Fushe Kruje, Hasan village, Hasan street, private building, 
1 floor, cadastral area no. 1934, building / Postal Code : 1934
+ ‪0696688738</t>
          </r>
        </is>
      </c>
      <c r="F9" s="97"/>
      <c r="G9" s="102" t="inlineStr">
        <is>
          <r>
            <t xml:space="preserve"> </t>
          </r>
        </is>
      </c>
      <c r="L9" s="97"/>
      <c r="N9" s="66"/>
      <c r="O9" s="94"/>
      <c r="P9" s="95" t="inlineStr">
        <is>
          <r>
            <t xml:space="preserve">MOLDOVA</t>
          </r>
        </is>
      </c>
      <c r="Q9" s="94"/>
      <c r="T9" s="15"/>
      <c r="U9" s="15"/>
      <c r="V9" s="15" t="inlineStr">
        <is>
          <r>
            <t xml:space="preserve">MOLDOVA</t>
          </r>
        </is>
      </c>
      <c r="AG9" s="88"/>
    </row>
    <row r="10" spans="1:33" customHeight="1" ht="18" s="88" customFormat="1">
      <c r="B10" s="98"/>
      <c r="F10" s="97"/>
      <c r="G10" s="93" t="inlineStr">
        <is>
          <r>
            <t xml:space="preserve">*Remark</t>
          </r>
        </is>
      </c>
      <c r="H10" s="91"/>
      <c r="I10" s="91"/>
      <c r="J10" s="91"/>
      <c r="K10" s="91"/>
      <c r="L10" s="92"/>
      <c r="N10" s="66"/>
      <c r="O10" s="94"/>
      <c r="P10" s="95" t="inlineStr">
        <is>
          <r>
            <t xml:space="preserve">KLAIPEDA</t>
          </r>
        </is>
      </c>
      <c r="Q10" s="94"/>
      <c r="T10" s="15"/>
      <c r="U10" s="15"/>
      <c r="V10" s="15" t="inlineStr">
        <is>
          <r>
            <t xml:space="preserve">KLAIPEDA</t>
          </r>
        </is>
      </c>
      <c r="AG10" s="88"/>
    </row>
    <row r="11" spans="1:33" customHeight="1" ht="42" s="88" customFormat="1">
      <c r="B11" s="99"/>
      <c r="C11" s="89"/>
      <c r="D11" s="89"/>
      <c r="E11" s="89"/>
      <c r="F11" s="100"/>
      <c r="G11" s="72" t="inlineStr">
        <is>
          <r>
            <t xml:space="preserve">USED KOREAN CARS</t>
          </r>
        </is>
      </c>
      <c r="J11" s="103" t="inlineStr">
        <is>
          <r>
            <t xml:space="preserve">Q'TY : UNIT</t>
          </r>
        </is>
      </c>
      <c r="L11" s="97"/>
      <c r="N11" s="66"/>
      <c r="O11" s="94"/>
      <c r="P11" s="95" t="inlineStr">
        <is>
          <r>
            <t xml:space="preserve">NORRKOPING</t>
          </r>
        </is>
      </c>
      <c r="Q11" s="94"/>
      <c r="T11" s="15"/>
      <c r="U11" s="15"/>
      <c r="V11" s="15" t="inlineStr">
        <is>
          <r>
            <t xml:space="preserve">NORRKOPING</t>
          </r>
        </is>
      </c>
      <c r="AG11" s="88"/>
    </row>
    <row r="12" spans="1:33" customHeight="1" ht="18" s="88" customFormat="1">
      <c r="B12" s="90" t="inlineStr">
        <is>
          <r>
            <t xml:space="preserve">3) Notify party</t>
          </r>
        </is>
      </c>
      <c r="C12" s="91"/>
      <c r="D12" s="91"/>
      <c r="E12" s="91"/>
      <c r="F12" s="92"/>
      <c r="G12" s="104" t="inlineStr">
        <is>
          <r>
            <t xml:space="preserve">RORO 6-2_2</t>
          </r>
        </is>
      </c>
      <c r="L12" s="97"/>
      <c r="N12" s="66"/>
      <c r="O12" s="94"/>
      <c r="P12" s="95" t="inlineStr">
        <is>
          <r>
            <t xml:space="preserve">U.A.E (DUBAI)</t>
          </r>
        </is>
      </c>
      <c r="Q12" s="94"/>
      <c r="T12" s="15"/>
      <c r="U12" s="15"/>
      <c r="V12" s="15" t="inlineStr">
        <is>
          <r>
            <t xml:space="preserve">U.A.E (DUBAI)</t>
          </r>
        </is>
      </c>
      <c r="AG12" s="88"/>
    </row>
    <row r="13" spans="1:33" customHeight="1" ht="13.5" s="88" customFormat="1">
      <c r="B13" s="105" t="inlineStr">
        <is>
          <r>
            <t xml:space="preserve">SAME AS ABOVE</t>
          </r>
        </is>
      </c>
      <c r="F13" s="97"/>
      <c r="G13" s="98"/>
      <c r="L13" s="97"/>
      <c r="N13" s="66"/>
      <c r="O13" s="94"/>
      <c r="P13" s="95" t="inlineStr">
        <is>
          <r>
            <t xml:space="preserve">CHILE</t>
          </r>
        </is>
      </c>
      <c r="Q13" s="94"/>
      <c r="T13" s="15"/>
      <c r="U13" s="15"/>
      <c r="V13" s="15" t="inlineStr">
        <is>
          <r>
            <t xml:space="preserve">CHILE</t>
          </r>
        </is>
      </c>
      <c r="AG13" s="88"/>
    </row>
    <row r="14" spans="1:33" customHeight="1" ht="13.5" s="88" customFormat="1">
      <c r="B14" s="99"/>
      <c r="C14" s="89"/>
      <c r="D14" s="89"/>
      <c r="E14" s="89"/>
      <c r="F14" s="100"/>
      <c r="G14" s="98"/>
      <c r="L14" s="97"/>
      <c r="T14" s="15"/>
      <c r="U14" s="15"/>
      <c r="V14" s="15"/>
      <c r="AG14" s="88"/>
    </row>
    <row r="15" spans="1:33" customHeight="1" ht="18" s="88" customFormat="1">
      <c r="B15" s="90" t="inlineStr">
        <is>
          <r>
            <t xml:space="preserve">4) Port of loading</t>
          </r>
        </is>
      </c>
      <c r="C15" s="91"/>
      <c r="D15" s="92"/>
      <c r="E15" s="93" t="inlineStr">
        <is>
          <r>
            <t xml:space="preserve">5) Final Destination</t>
          </r>
        </is>
      </c>
      <c r="F15" s="92"/>
      <c r="G15" s="74" t="inlineStr">
        <is>
          <r>
            <t xml:space="preserve">반입지 : </t>
          </r>
        </is>
      </c>
      <c r="I15" s="106" t="inlineStr">
        <is>
          <r>
            <t xml:space="preserve">인천항 3부두</t>
          </r>
        </is>
      </c>
      <c r="J15" s="88"/>
      <c r="K15" s="88"/>
      <c r="L15" s="97"/>
      <c r="T15" s="15"/>
      <c r="U15" s="15"/>
      <c r="V15" s="15"/>
      <c r="AG15" s="88"/>
    </row>
    <row r="16" spans="1:33" customHeight="1" ht="24" s="88" customFormat="1">
      <c r="B16" s="80" t="inlineStr">
        <is>
          <r>
            <t xml:space="preserve">INCHOEN, KOREA</t>
          </r>
        </is>
      </c>
      <c r="C16" s="89"/>
      <c r="D16" s="89"/>
      <c r="E16" s="107" t="inlineStr">
        <is>
          <r>
            <t xml:space="preserve">DURRESS,  ALBANIA</t>
          </r>
        </is>
      </c>
      <c r="F16" s="100"/>
      <c r="G16" s="98"/>
      <c r="I16" s="88"/>
      <c r="J16" s="88"/>
      <c r="K16" s="88"/>
      <c r="L16" s="97"/>
      <c r="Q16" s="5"/>
      <c r="T16" s="15"/>
      <c r="U16" s="15"/>
      <c r="V16" s="15"/>
      <c r="AG16" s="88"/>
    </row>
    <row r="17" spans="1:33" customHeight="1" ht="18" s="88" customFormat="1">
      <c r="B17" s="90" t="inlineStr">
        <is>
          <r>
            <t xml:space="preserve">6) Vessel name</t>
          </r>
        </is>
      </c>
      <c r="C17" s="91"/>
      <c r="D17" s="92"/>
      <c r="E17" s="93" t="inlineStr">
        <is>
          <r>
            <t xml:space="preserve">7) Sailing on or about</t>
          </r>
        </is>
      </c>
      <c r="F17" s="92"/>
      <c r="G17" s="77" t="inlineStr">
        <is>
          <r>
            <t xml:space="preserve"> </t>
          </r>
        </is>
      </c>
      <c r="I17" s="73"/>
      <c r="L17" s="97"/>
      <c r="N17" s="70" t="inlineStr">
        <is>
          <r>
            <t xml:space="preserve">SSANCAR MADAGASCAR
TEL:033-152-9977 / 034-142-9977
101 ANTANANARIVO MADAGASCAR
LOT SIBD 35 TSARALALANA ANALAMANGA</t>
          </r>
        </is>
      </c>
      <c r="V17" s="15"/>
      <c r="AG17" s="88"/>
    </row>
    <row r="18" spans="1:33" customHeight="1" ht="24" s="88" customFormat="1">
      <c r="B18" s="81"/>
      <c r="C18" s="89"/>
      <c r="D18" s="89"/>
      <c r="E18" s="108"/>
      <c r="F18" s="100"/>
      <c r="G18" s="99"/>
      <c r="H18" s="89"/>
      <c r="I18" s="89"/>
      <c r="J18" s="89"/>
      <c r="K18" s="89"/>
      <c r="L18" s="100"/>
      <c r="V18" s="15"/>
      <c r="AG18" s="88"/>
    </row>
    <row r="19" spans="1:33" customHeight="1" ht="29.25" s="88" customFormat="1">
      <c r="B19" s="16" t="inlineStr">
        <is>
          <r>
            <t xml:space="preserve">11) MARKS AND NUMBERS OF PKGS</t>
          </r>
        </is>
      </c>
      <c r="C19" s="16"/>
      <c r="D19" s="17"/>
      <c r="E19" s="17" t="inlineStr">
        <is>
          <r>
            <t xml:space="preserve">12) Description of Goods</t>
          </r>
        </is>
      </c>
      <c r="F19" s="18"/>
      <c r="G19" s="19" t="inlineStr">
        <is>
          <r>
            <t xml:space="preserve">13) Quantity</t>
          </r>
        </is>
      </c>
      <c r="H19" s="19" t="inlineStr">
        <is>
          <r>
            <t xml:space="preserve">14) Unit price</t>
          </r>
        </is>
      </c>
      <c r="I19" s="19" t="inlineStr">
        <is>
          <r>
            <t xml:space="preserve">15) Amount</t>
          </r>
        </is>
      </c>
      <c r="J19" s="19" t="inlineStr">
        <is>
          <r>
            <t xml:space="preserve">16) WEIGHT</t>
          </r>
        </is>
      </c>
      <c r="K19" s="19" t="inlineStr">
        <is>
          <r>
            <t xml:space="preserve">17) CBM</t>
          </r>
        </is>
      </c>
      <c r="L19" s="20" t="inlineStr">
        <is>
          <r>
            <t xml:space="preserve">18) DISPLACE-
MENT(cc)</t>
          </r>
        </is>
      </c>
      <c r="AG19" s="88"/>
    </row>
    <row r="20" spans="1:33" customHeight="1" ht="26.25" s="4" customFormat="1">
      <c r="A20" s="3"/>
      <c r="B20" s="21" t="inlineStr">
        <is>
          <r>
            <t xml:space="preserve">NO.</t>
          </r>
        </is>
      </c>
      <c r="C20" s="82" t="inlineStr">
        <is>
          <r>
            <t xml:space="preserve">Commodity</t>
          </r>
        </is>
      </c>
      <c r="D20" s="109"/>
      <c r="E20" s="82" t="inlineStr">
        <is>
          <r>
            <t xml:space="preserve">Year</t>
          </r>
        </is>
      </c>
      <c r="F20" s="82" t="inlineStr">
        <is>
          <r>
            <t xml:space="preserve">Chassis No.</t>
          </r>
        </is>
      </c>
      <c r="G20" s="110" t="inlineStr">
        <is>
          <r>
            <t xml:space="preserve">Q'TY</t>
          </r>
        </is>
      </c>
      <c r="H20" s="111" t="inlineStr">
        <is>
          <r>
            <t xml:space="preserve">Unit Price</t>
          </r>
        </is>
      </c>
      <c r="I20" s="112" t="inlineStr">
        <is>
          <r>
            <t xml:space="preserve">AMOUNT</t>
          </r>
        </is>
      </c>
      <c r="J20" s="22" t="inlineStr">
        <is>
          <r>
            <t xml:space="preserve">Weight
(KG)</t>
          </r>
        </is>
      </c>
      <c r="K20" s="82" t="inlineStr">
        <is>
          <r>
            <t xml:space="preserve">CBM</t>
          </r>
        </is>
      </c>
      <c r="L20" s="113" t="inlineStr">
        <is>
          <r>
            <t xml:space="preserve">Shipping</t>
          </r>
        </is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G20" s="4"/>
    </row>
    <row r="21" spans="1:33" customHeight="1" ht="27" s="114" customFormat="1">
      <c r="A21" s="115"/>
      <c r="B21" s="116">
        <v>1</v>
      </c>
      <c r="C21" s="117" t="inlineStr">
        <is>
          <r>
            <t xml:space="preserve">VOLKSWAGEN</t>
          </r>
        </is>
      </c>
      <c r="D21" s="118" t="inlineStr">
        <is>
          <r>
            <t xml:space="preserve">TIGUAN</t>
          </r>
        </is>
      </c>
      <c r="E21" s="60">
        <v>2016</v>
      </c>
      <c r="F21" s="61" t="inlineStr">
        <is>
          <r>
            <t xml:space="preserve">WVGZZZ5NZGW037130</t>
          </r>
        </is>
      </c>
      <c r="G21" s="62">
        <v>1</v>
      </c>
      <c r="H21" s="119">
        <v>4830</v>
      </c>
      <c r="I21" s="63" t="str">
        <f>H21</f>
        <v>0</v>
      </c>
      <c r="J21" s="120"/>
      <c r="K21" s="121"/>
      <c r="L21" s="122">
        <v>1770</v>
      </c>
      <c r="M21" s="14" t="str">
        <f>SUM(I21,L21)</f>
        <v>0</v>
      </c>
      <c r="N21" s="75"/>
      <c r="P21" s="52" t="inlineStr">
        <is>
          <r>
            <t xml:space="preserve">R0R0</t>
          </r>
        </is>
      </c>
      <c r="Q21" s="53"/>
      <c r="R21" s="54"/>
      <c r="S21" s="4"/>
      <c r="T21" s="4"/>
      <c r="U21" s="1"/>
      <c r="V21" s="1"/>
      <c r="W21" s="1"/>
      <c r="X21" s="4"/>
      <c r="Y21" s="4"/>
      <c r="Z21" s="4"/>
      <c r="AG21" s="114"/>
    </row>
    <row r="22" spans="1:33" customHeight="1" ht="27" s="114" customFormat="1">
      <c r="A22" s="115"/>
      <c r="B22" s="123">
        <v>2</v>
      </c>
      <c r="C22" s="117" t="inlineStr">
        <is>
          <r>
            <t xml:space="preserve">BENZ</t>
          </r>
        </is>
      </c>
      <c r="D22" s="118" t="inlineStr">
        <is>
          <r>
            <t xml:space="preserve">C220</t>
          </r>
        </is>
      </c>
      <c r="E22" s="64">
        <v>2016</v>
      </c>
      <c r="F22" s="61" t="inlineStr">
        <is>
          <r>
            <t xml:space="preserve">WDDWF0FB6GF236490</t>
          </r>
        </is>
      </c>
      <c r="G22" s="62">
        <v>1</v>
      </c>
      <c r="H22" s="124">
        <v>9330</v>
      </c>
      <c r="I22" s="63" t="str">
        <f>H22</f>
        <v>0</v>
      </c>
      <c r="J22" s="125"/>
      <c r="K22" s="126"/>
      <c r="L22" s="127">
        <v>1670</v>
      </c>
      <c r="M22" s="14" t="str">
        <f>SUM(I22,L22)</f>
        <v>0</v>
      </c>
      <c r="O22" s="5"/>
      <c r="P22" s="57" t="inlineStr">
        <is>
          <r>
            <t xml:space="preserve">인천</t>
          </r>
        </is>
      </c>
      <c r="Q22" s="128" t="inlineStr">
        <is>
          <r>
            <t xml:space="preserve">인천항 3부두</t>
          </r>
        </is>
      </c>
      <c r="R22" s="56"/>
      <c r="S22" s="129" t="inlineStr">
        <is>
          <r>
            <t xml:space="preserve">인천항 3부두</t>
          </r>
        </is>
      </c>
      <c r="AG22" s="114"/>
    </row>
    <row r="23" spans="1:33" customHeight="1" ht="27" s="114" customFormat="1">
      <c r="A23" s="115"/>
      <c r="B23" s="130">
        <v>3</v>
      </c>
      <c r="C23" s="131"/>
      <c r="D23" s="132"/>
      <c r="E23" s="43"/>
      <c r="F23" s="42"/>
      <c r="G23" s="35"/>
      <c r="H23" s="133"/>
      <c r="I23" s="51" t="str">
        <f>H23</f>
        <v>0</v>
      </c>
      <c r="J23" s="134"/>
      <c r="K23" s="135"/>
      <c r="L23" s="136"/>
      <c r="M23" s="14" t="str">
        <f>SUM(I23,L23)</f>
        <v>0</v>
      </c>
      <c r="N23" s="4"/>
      <c r="P23" s="55" t="inlineStr">
        <is>
          <r>
            <t xml:space="preserve">마산</t>
          </r>
        </is>
      </c>
      <c r="Q23" s="128" t="inlineStr">
        <is>
          <r>
            <t xml:space="preserve">마산 제 5부두</t>
          </r>
        </is>
      </c>
      <c r="R23" s="56" t="inlineStr">
        <is>
          <r>
            <t xml:space="preserve">05002102</t>
          </r>
        </is>
      </c>
      <c r="S23" s="137" t="inlineStr">
        <is>
          <r>
            <t xml:space="preserve">마산 제5부두 (05002102)</t>
          </r>
        </is>
      </c>
      <c r="AG23" s="114"/>
    </row>
    <row r="24" spans="1:33" customHeight="1" ht="27" s="114" customFormat="1">
      <c r="A24" s="115"/>
      <c r="B24" s="138">
        <v>4</v>
      </c>
      <c r="C24" s="131"/>
      <c r="D24" s="132"/>
      <c r="E24" s="44"/>
      <c r="F24" s="42"/>
      <c r="G24" s="35"/>
      <c r="H24" s="139"/>
      <c r="I24" s="51" t="str">
        <f>H24</f>
        <v>0</v>
      </c>
      <c r="J24" s="140"/>
      <c r="K24" s="141"/>
      <c r="L24" s="142"/>
      <c r="M24" s="14" t="str">
        <f>SUM(I24,L24)</f>
        <v>0</v>
      </c>
      <c r="N24" s="1"/>
      <c r="O24" s="4"/>
      <c r="P24" s="57" t="inlineStr">
        <is>
          <r>
            <t xml:space="preserve">인천</t>
          </r>
        </is>
      </c>
      <c r="Q24" s="128" t="inlineStr">
        <is>
          <r>
            <t xml:space="preserve">인천내항 4부두</t>
          </r>
        </is>
      </c>
      <c r="R24" s="56" t="inlineStr">
        <is>
          <r>
            <t xml:space="preserve">0209999</t>
          </r>
        </is>
      </c>
      <c r="S24" s="129" t="inlineStr">
        <is>
          <r>
            <t xml:space="preserve">인천내항 4부두 (0209999)</t>
          </r>
        </is>
      </c>
      <c r="U24" s="4"/>
      <c r="V24" s="1"/>
      <c r="W24" s="4"/>
      <c r="AG24" s="114"/>
    </row>
    <row r="25" spans="1:33" customHeight="1" ht="27" s="114" customFormat="1">
      <c r="A25" s="115"/>
      <c r="B25" s="143">
        <v>5</v>
      </c>
      <c r="C25" s="131"/>
      <c r="D25" s="132"/>
      <c r="E25" s="45"/>
      <c r="F25" s="42"/>
      <c r="G25" s="35"/>
      <c r="H25" s="144"/>
      <c r="I25" s="51" t="str">
        <f>H25</f>
        <v>0</v>
      </c>
      <c r="J25" s="145"/>
      <c r="K25" s="146"/>
      <c r="L25" s="147"/>
      <c r="M25" s="14" t="str">
        <f>SUM(I25,L25)</f>
        <v>0</v>
      </c>
      <c r="N25" s="1"/>
      <c r="O25" s="5"/>
      <c r="P25" s="57" t="inlineStr">
        <is>
          <r>
            <t xml:space="preserve">부산</t>
          </r>
        </is>
      </c>
      <c r="Q25" s="128" t="inlineStr">
        <is>
          <r>
            <t xml:space="preserve">세방감천</t>
          </r>
        </is>
      </c>
      <c r="R25" s="56" t="inlineStr">
        <is>
          <r>
            <t xml:space="preserve">030-77078</t>
          </r>
        </is>
      </c>
      <c r="S25" s="129" t="inlineStr">
        <is>
          <r>
            <t xml:space="preserve">세방감천LME (030-77078)</t>
          </r>
        </is>
      </c>
      <c r="AG25" s="114"/>
    </row>
    <row r="26" spans="1:33" customHeight="1" ht="27" s="114" customFormat="1">
      <c r="A26" s="115"/>
      <c r="B26" s="148">
        <v>6</v>
      </c>
      <c r="C26" s="131"/>
      <c r="D26" s="132"/>
      <c r="E26" s="46"/>
      <c r="F26" s="42"/>
      <c r="G26" s="36"/>
      <c r="H26" s="149"/>
      <c r="I26" s="51" t="str">
        <f>H26</f>
        <v>0</v>
      </c>
      <c r="J26" s="150"/>
      <c r="K26" s="151"/>
      <c r="L26" s="152"/>
      <c r="M26" s="14" t="str">
        <f>SUM(I26,L26)</f>
        <v>0</v>
      </c>
      <c r="N26" s="4"/>
      <c r="O26" s="4"/>
      <c r="P26" s="57" t="inlineStr">
        <is>
          <r>
            <t xml:space="preserve">평택</t>
          </r>
        </is>
      </c>
      <c r="Q26" s="153" t="inlineStr">
        <is>
          <r>
            <t xml:space="preserve">평택항</t>
          </r>
        </is>
      </c>
      <c r="R26" s="56" t="inlineStr">
        <is>
          <r>
            <t xml:space="preserve">01699999</t>
          </r>
        </is>
      </c>
      <c r="S26" s="129" t="inlineStr">
        <is>
          <r>
            <t xml:space="preserve">평택항 (01699999)</t>
          </r>
        </is>
      </c>
      <c r="V26" s="1"/>
      <c r="W26" s="4"/>
      <c r="AG26" s="114"/>
    </row>
    <row r="27" spans="1:33" customHeight="1" ht="27" s="114" customFormat="1">
      <c r="A27" s="115"/>
      <c r="B27" s="154">
        <v>7</v>
      </c>
      <c r="C27" s="131"/>
      <c r="D27" s="132"/>
      <c r="E27" s="47"/>
      <c r="F27" s="42"/>
      <c r="G27" s="37"/>
      <c r="H27" s="155"/>
      <c r="I27" s="51" t="str">
        <f>H27</f>
        <v>0</v>
      </c>
      <c r="J27" s="156"/>
      <c r="K27" s="157"/>
      <c r="L27" s="158"/>
      <c r="M27" s="14" t="str">
        <f>SUM(I27,L27)</f>
        <v>0</v>
      </c>
      <c r="N27" s="1"/>
      <c r="O27" s="5"/>
      <c r="P27" s="57" t="inlineStr">
        <is>
          <r>
            <t xml:space="preserve">평택 PIRT</t>
          </r>
        </is>
      </c>
      <c r="Q27" s="153" t="inlineStr">
        <is>
          <r>
            <t xml:space="preserve">평택국제자동차부두</t>
          </r>
        </is>
      </c>
      <c r="R27" s="56" t="inlineStr">
        <is>
          <r>
            <t xml:space="preserve">01610038</t>
          </r>
        </is>
      </c>
      <c r="S27" s="129" t="inlineStr">
        <is>
          <r>
            <t xml:space="preserve">평택국제자동차부두 PIRT (1610038)</t>
          </r>
        </is>
      </c>
      <c r="AG27" s="114"/>
    </row>
    <row r="28" spans="1:33" customHeight="1" ht="27" s="114" customFormat="1">
      <c r="A28" s="115"/>
      <c r="B28" s="159">
        <v>8</v>
      </c>
      <c r="C28" s="131"/>
      <c r="D28" s="132"/>
      <c r="E28" s="48"/>
      <c r="F28" s="42"/>
      <c r="G28" s="38"/>
      <c r="H28" s="160"/>
      <c r="I28" s="51" t="str">
        <f>H28</f>
        <v>0</v>
      </c>
      <c r="J28" s="161"/>
      <c r="K28" s="162"/>
      <c r="L28" s="163"/>
      <c r="M28" s="14" t="str">
        <f>SUM(I28,L28)</f>
        <v>0</v>
      </c>
      <c r="N28" s="1"/>
      <c r="O28" s="5"/>
      <c r="P28" s="57" t="inlineStr">
        <is>
          <r>
            <t xml:space="preserve">평택 HPIT</t>
          </r>
        </is>
      </c>
      <c r="Q28" s="153" t="inlineStr">
        <is>
          <r>
            <t xml:space="preserve">평택국제터미널</t>
          </r>
        </is>
      </c>
      <c r="R28" s="56" t="inlineStr">
        <is>
          <r>
            <t xml:space="preserve">01606020</t>
          </r>
        </is>
      </c>
      <c r="S28" s="129" t="inlineStr">
        <is>
          <r>
            <t xml:space="preserve">평택국제터미널 HPIT (01606020)</t>
          </r>
        </is>
      </c>
      <c r="AG28" s="114"/>
    </row>
    <row r="29" spans="1:33" customHeight="1" ht="27" s="114" customFormat="1">
      <c r="A29" s="115"/>
      <c r="B29" s="164">
        <v>9</v>
      </c>
      <c r="C29" s="131"/>
      <c r="D29" s="132"/>
      <c r="E29" s="49"/>
      <c r="F29" s="42"/>
      <c r="G29" s="39"/>
      <c r="H29" s="165"/>
      <c r="I29" s="51" t="str">
        <f>H29</f>
        <v>0</v>
      </c>
      <c r="J29" s="166"/>
      <c r="K29" s="167"/>
      <c r="L29" s="168"/>
      <c r="M29" s="14" t="str">
        <f>SUM(I29,L29)</f>
        <v>0</v>
      </c>
      <c r="N29" s="1"/>
      <c r="O29" s="5"/>
      <c r="P29" s="57" t="inlineStr">
        <is>
          <r>
            <t xml:space="preserve">동해</t>
          </r>
        </is>
      </c>
      <c r="Q29" s="153" t="inlineStr">
        <is>
          <r>
            <t xml:space="preserve">동해항</t>
          </r>
        </is>
      </c>
      <c r="R29" s="56" t="inlineStr">
        <is>
          <r>
            <t xml:space="preserve">1099999</t>
          </r>
        </is>
      </c>
      <c r="S29" s="129" t="inlineStr">
        <is>
          <r>
            <t xml:space="preserve">동해항 (1099999)</t>
          </r>
        </is>
      </c>
      <c r="AG29" s="114"/>
    </row>
    <row r="30" spans="1:33" customHeight="1" ht="27" s="114" customFormat="1">
      <c r="A30" s="115"/>
      <c r="B30" s="169">
        <v>10</v>
      </c>
      <c r="C30" s="131"/>
      <c r="D30" s="132"/>
      <c r="E30" s="50"/>
      <c r="F30" s="42"/>
      <c r="G30" s="40"/>
      <c r="H30" s="170"/>
      <c r="I30" s="51" t="str">
        <f>H30</f>
        <v>0</v>
      </c>
      <c r="J30" s="171"/>
      <c r="K30" s="172"/>
      <c r="L30" s="173"/>
      <c r="M30" s="14" t="str">
        <f>SUM(I30,L30)</f>
        <v>0</v>
      </c>
      <c r="N30" s="1"/>
      <c r="O30" s="5"/>
      <c r="P30" s="58" t="inlineStr">
        <is>
          <r>
            <t xml:space="preserve">부산</t>
          </r>
        </is>
      </c>
      <c r="Q30" s="174" t="inlineStr">
        <is>
          <r>
            <t xml:space="preserve">감천항 6부두</t>
          </r>
        </is>
      </c>
      <c r="R30" s="59" t="inlineStr">
        <is>
          <r>
            <t xml:space="preserve">03078003</t>
          </r>
        </is>
      </c>
      <c r="S30" s="137" t="inlineStr">
        <is>
          <r>
            <t xml:space="preserve">감천항 6부두 (030-78003)</t>
          </r>
        </is>
      </c>
      <c r="AG30" s="114"/>
    </row>
    <row r="31" spans="1:33" customHeight="1" ht="27">
      <c r="A31" s="115"/>
      <c r="B31" s="169">
        <v>11</v>
      </c>
      <c r="C31" s="131"/>
      <c r="D31" s="132"/>
      <c r="E31" s="50"/>
      <c r="F31" s="42"/>
      <c r="G31" s="40"/>
      <c r="H31" s="170"/>
      <c r="I31" s="51" t="str">
        <f>H31</f>
        <v>0</v>
      </c>
      <c r="J31" s="171"/>
      <c r="K31" s="172"/>
      <c r="L31" s="173"/>
      <c r="M31" s="14" t="str">
        <f>SUM(I31,L31)</f>
        <v>0</v>
      </c>
      <c r="N31" s="1"/>
      <c r="O31" s="5"/>
      <c r="P31" s="58"/>
      <c r="Q31" s="174"/>
      <c r="R31" s="59"/>
      <c r="S31" s="137"/>
      <c r="AG31" s="114"/>
    </row>
    <row r="32" spans="1:33" customHeight="1" ht="27">
      <c r="A32" s="115"/>
      <c r="B32" s="169">
        <v>12</v>
      </c>
      <c r="C32" s="131"/>
      <c r="D32" s="132"/>
      <c r="E32" s="50"/>
      <c r="F32" s="42"/>
      <c r="G32" s="40"/>
      <c r="H32" s="170"/>
      <c r="I32" s="51" t="str">
        <f>H32</f>
        <v>0</v>
      </c>
      <c r="J32" s="171"/>
      <c r="K32" s="172"/>
      <c r="L32" s="173"/>
      <c r="M32" s="14" t="str">
        <f>SUM(I32,L32)</f>
        <v>0</v>
      </c>
      <c r="N32" s="1"/>
      <c r="O32" s="5"/>
      <c r="P32" s="58"/>
      <c r="Q32" s="174"/>
      <c r="R32" s="59"/>
      <c r="S32" s="137"/>
      <c r="AG32" s="114"/>
    </row>
    <row r="33" spans="1:33" customHeight="1" ht="27">
      <c r="A33" s="115"/>
      <c r="B33" s="169">
        <v>13</v>
      </c>
      <c r="C33" s="131"/>
      <c r="D33" s="132"/>
      <c r="E33" s="50"/>
      <c r="F33" s="42"/>
      <c r="G33" s="40"/>
      <c r="H33" s="170"/>
      <c r="I33" s="51" t="str">
        <f>H33</f>
        <v>0</v>
      </c>
      <c r="J33" s="171"/>
      <c r="K33" s="172"/>
      <c r="L33" s="173"/>
      <c r="M33" s="14" t="str">
        <f>SUM(I33,L33)</f>
        <v>0</v>
      </c>
      <c r="N33" s="1"/>
      <c r="O33" s="5"/>
      <c r="P33" s="58"/>
      <c r="Q33" s="174"/>
      <c r="R33" s="59"/>
      <c r="S33" s="137"/>
      <c r="AG33" s="114"/>
    </row>
    <row r="34" spans="1:33" customHeight="1" ht="27">
      <c r="A34" s="115"/>
      <c r="B34" s="169">
        <v>14</v>
      </c>
      <c r="C34" s="131"/>
      <c r="D34" s="132"/>
      <c r="E34" s="50"/>
      <c r="F34" s="42"/>
      <c r="G34" s="40"/>
      <c r="H34" s="170"/>
      <c r="I34" s="51" t="str">
        <f>H34</f>
        <v>0</v>
      </c>
      <c r="J34" s="171"/>
      <c r="K34" s="172"/>
      <c r="L34" s="173"/>
      <c r="M34" s="14" t="str">
        <f>SUM(I34,L34)</f>
        <v>0</v>
      </c>
      <c r="N34" s="1"/>
      <c r="O34" s="5"/>
      <c r="P34" s="58"/>
      <c r="Q34" s="174"/>
      <c r="R34" s="59"/>
      <c r="S34" s="137"/>
      <c r="AG34" s="114"/>
    </row>
    <row r="35" spans="1:33" customHeight="1" ht="27">
      <c r="A35" s="115"/>
      <c r="B35" s="169">
        <v>15</v>
      </c>
      <c r="C35" s="131"/>
      <c r="D35" s="132"/>
      <c r="E35" s="50"/>
      <c r="F35" s="42"/>
      <c r="G35" s="40"/>
      <c r="H35" s="170"/>
      <c r="I35" s="51" t="str">
        <f>H35</f>
        <v>0</v>
      </c>
      <c r="J35" s="171"/>
      <c r="K35" s="172"/>
      <c r="L35" s="173"/>
      <c r="M35" s="14" t="str">
        <f>SUM(I35,L35)</f>
        <v>0</v>
      </c>
      <c r="N35" s="1"/>
      <c r="O35" s="5"/>
      <c r="P35" s="58"/>
      <c r="Q35" s="174"/>
      <c r="R35" s="59"/>
      <c r="S35" s="137"/>
      <c r="AG35" s="114"/>
    </row>
    <row r="36" spans="1:33" customHeight="1" ht="27">
      <c r="A36" s="115"/>
      <c r="B36" s="169">
        <v>16</v>
      </c>
      <c r="C36" s="131"/>
      <c r="D36" s="132"/>
      <c r="E36" s="50"/>
      <c r="F36" s="42"/>
      <c r="G36" s="40"/>
      <c r="H36" s="170"/>
      <c r="I36" s="51" t="str">
        <f>H36</f>
        <v>0</v>
      </c>
      <c r="J36" s="171"/>
      <c r="K36" s="172"/>
      <c r="L36" s="173"/>
      <c r="M36" s="14" t="str">
        <f>SUM(I36,L36)</f>
        <v>0</v>
      </c>
      <c r="N36" s="1"/>
      <c r="O36" s="5"/>
      <c r="P36" s="58"/>
      <c r="Q36" s="174"/>
      <c r="R36" s="59"/>
      <c r="S36" s="137"/>
      <c r="AG36" s="114"/>
    </row>
    <row r="37" spans="1:33" customHeight="1" ht="27">
      <c r="A37" s="115"/>
      <c r="B37" s="169">
        <v>17</v>
      </c>
      <c r="C37" s="131"/>
      <c r="D37" s="132"/>
      <c r="E37" s="50"/>
      <c r="F37" s="42"/>
      <c r="G37" s="40"/>
      <c r="H37" s="170"/>
      <c r="I37" s="51" t="str">
        <f>H37</f>
        <v>0</v>
      </c>
      <c r="J37" s="171"/>
      <c r="K37" s="172"/>
      <c r="L37" s="173"/>
      <c r="M37" s="14" t="str">
        <f>SUM(I37,L37)</f>
        <v>0</v>
      </c>
      <c r="N37" s="1"/>
      <c r="O37" s="5"/>
      <c r="P37" s="58"/>
      <c r="Q37" s="174"/>
      <c r="R37" s="59"/>
      <c r="S37" s="137"/>
      <c r="AG37" s="114"/>
    </row>
    <row r="38" spans="1:33" customHeight="1" ht="27">
      <c r="A38" s="115"/>
      <c r="B38" s="169">
        <v>18</v>
      </c>
      <c r="C38" s="131"/>
      <c r="D38" s="132"/>
      <c r="E38" s="50"/>
      <c r="F38" s="42"/>
      <c r="G38" s="40"/>
      <c r="H38" s="170"/>
      <c r="I38" s="51" t="str">
        <f>H38</f>
        <v>0</v>
      </c>
      <c r="J38" s="171"/>
      <c r="K38" s="172"/>
      <c r="L38" s="173"/>
      <c r="M38" s="14" t="str">
        <f>SUM(I38,L38)</f>
        <v>0</v>
      </c>
      <c r="N38" s="1"/>
      <c r="O38" s="5"/>
      <c r="P38" s="58"/>
      <c r="Q38" s="174"/>
      <c r="R38" s="59"/>
      <c r="S38" s="137"/>
      <c r="AG38" s="114"/>
    </row>
    <row r="39" spans="1:33" customHeight="1" ht="27">
      <c r="A39" s="115"/>
      <c r="B39" s="169">
        <v>19</v>
      </c>
      <c r="C39" s="131"/>
      <c r="D39" s="132"/>
      <c r="E39" s="50"/>
      <c r="F39" s="42"/>
      <c r="G39" s="40"/>
      <c r="H39" s="170"/>
      <c r="I39" s="51" t="str">
        <f>H39</f>
        <v>0</v>
      </c>
      <c r="J39" s="171"/>
      <c r="K39" s="172"/>
      <c r="L39" s="173"/>
      <c r="M39" s="14" t="str">
        <f>SUM(I39,L39)</f>
        <v>0</v>
      </c>
      <c r="N39" s="1"/>
      <c r="O39" s="5"/>
      <c r="P39" s="58"/>
      <c r="Q39" s="174"/>
      <c r="R39" s="59"/>
      <c r="S39" s="137"/>
      <c r="AG39" s="114"/>
    </row>
    <row r="40" spans="1:33" customHeight="1" ht="27">
      <c r="A40" s="115"/>
      <c r="B40" s="169">
        <v>20</v>
      </c>
      <c r="C40" s="131"/>
      <c r="D40" s="132"/>
      <c r="E40" s="50"/>
      <c r="F40" s="42"/>
      <c r="G40" s="40"/>
      <c r="H40" s="170"/>
      <c r="I40" s="51" t="str">
        <f>H40</f>
        <v>0</v>
      </c>
      <c r="J40" s="171"/>
      <c r="K40" s="172"/>
      <c r="L40" s="173"/>
      <c r="M40" s="14" t="str">
        <f>SUM(I40,L40)</f>
        <v>0</v>
      </c>
      <c r="N40" s="1"/>
      <c r="O40" s="5"/>
      <c r="P40" s="58"/>
      <c r="Q40" s="174"/>
      <c r="R40" s="59"/>
      <c r="S40" s="137"/>
      <c r="AG40" s="114"/>
    </row>
    <row r="41" spans="1:33" customHeight="1" ht="27">
      <c r="A41" s="115"/>
      <c r="B41" s="169">
        <v>21</v>
      </c>
      <c r="C41" s="131"/>
      <c r="D41" s="132"/>
      <c r="E41" s="50"/>
      <c r="F41" s="42"/>
      <c r="G41" s="40"/>
      <c r="H41" s="170"/>
      <c r="I41" s="51" t="str">
        <f>H41</f>
        <v>0</v>
      </c>
      <c r="J41" s="171"/>
      <c r="K41" s="172"/>
      <c r="L41" s="173"/>
      <c r="M41" s="14" t="str">
        <f>SUM(I41,L41)</f>
        <v>0</v>
      </c>
      <c r="N41" s="1"/>
      <c r="O41" s="5"/>
      <c r="P41" s="58"/>
      <c r="Q41" s="174"/>
      <c r="R41" s="59"/>
      <c r="S41" s="137"/>
      <c r="AG41" s="114"/>
    </row>
    <row r="42" spans="1:33" customHeight="1" ht="27">
      <c r="A42" s="115"/>
      <c r="B42" s="169">
        <v>22</v>
      </c>
      <c r="C42" s="131"/>
      <c r="D42" s="132"/>
      <c r="E42" s="50"/>
      <c r="F42" s="42"/>
      <c r="G42" s="40"/>
      <c r="H42" s="170"/>
      <c r="I42" s="51" t="str">
        <f>H42</f>
        <v>0</v>
      </c>
      <c r="J42" s="171"/>
      <c r="K42" s="172"/>
      <c r="L42" s="173"/>
      <c r="M42" s="14" t="str">
        <f>SUM(I42,L42)</f>
        <v>0</v>
      </c>
      <c r="N42" s="1"/>
      <c r="O42" s="5"/>
      <c r="P42" s="58"/>
      <c r="Q42" s="174"/>
      <c r="R42" s="59"/>
      <c r="S42" s="137"/>
      <c r="AG42" s="114"/>
    </row>
    <row r="43" spans="1:33" customHeight="1" ht="27">
      <c r="A43" s="115"/>
      <c r="B43" s="169">
        <v>23</v>
      </c>
      <c r="C43" s="131"/>
      <c r="D43" s="132"/>
      <c r="E43" s="50"/>
      <c r="F43" s="42"/>
      <c r="G43" s="40"/>
      <c r="H43" s="170"/>
      <c r="I43" s="51" t="str">
        <f>H43</f>
        <v>0</v>
      </c>
      <c r="J43" s="171"/>
      <c r="K43" s="172"/>
      <c r="L43" s="173"/>
      <c r="M43" s="14" t="str">
        <f>SUM(I43,L43)</f>
        <v>0</v>
      </c>
      <c r="N43" s="1"/>
      <c r="O43" s="5"/>
      <c r="P43" s="58"/>
      <c r="Q43" s="174"/>
      <c r="R43" s="59"/>
      <c r="S43" s="137"/>
      <c r="AG43" s="114"/>
    </row>
    <row r="44" spans="1:33" customHeight="1" ht="27">
      <c r="A44" s="115"/>
      <c r="B44" s="169">
        <v>24</v>
      </c>
      <c r="C44" s="131"/>
      <c r="D44" s="132"/>
      <c r="E44" s="50"/>
      <c r="F44" s="42"/>
      <c r="G44" s="40"/>
      <c r="H44" s="170"/>
      <c r="I44" s="51" t="str">
        <f>H44</f>
        <v>0</v>
      </c>
      <c r="J44" s="171"/>
      <c r="K44" s="172"/>
      <c r="L44" s="173"/>
      <c r="M44" s="14" t="str">
        <f>SUM(I44,L44)</f>
        <v>0</v>
      </c>
      <c r="N44" s="1"/>
      <c r="O44" s="5"/>
      <c r="P44" s="58"/>
      <c r="Q44" s="174"/>
      <c r="R44" s="59"/>
      <c r="S44" s="137"/>
      <c r="AG44" s="114"/>
    </row>
    <row r="45" spans="1:33" customHeight="1" ht="27">
      <c r="A45" s="115"/>
      <c r="B45" s="169">
        <v>25</v>
      </c>
      <c r="C45" s="131"/>
      <c r="D45" s="132"/>
      <c r="E45" s="50"/>
      <c r="F45" s="42"/>
      <c r="G45" s="40"/>
      <c r="H45" s="170"/>
      <c r="I45" s="51" t="str">
        <f>H45</f>
        <v>0</v>
      </c>
      <c r="J45" s="171"/>
      <c r="K45" s="172"/>
      <c r="L45" s="173"/>
      <c r="M45" s="14" t="str">
        <f>SUM(I45,L45)</f>
        <v>0</v>
      </c>
      <c r="N45" s="1"/>
      <c r="O45" s="5"/>
      <c r="P45" s="58"/>
      <c r="Q45" s="174"/>
      <c r="R45" s="59"/>
      <c r="S45" s="137"/>
      <c r="AG45" s="114"/>
    </row>
    <row r="46" spans="1:33" customHeight="1" ht="27">
      <c r="A46" s="115"/>
      <c r="B46" s="169">
        <v>26</v>
      </c>
      <c r="C46" s="131"/>
      <c r="D46" s="132"/>
      <c r="E46" s="50"/>
      <c r="F46" s="42"/>
      <c r="G46" s="40"/>
      <c r="H46" s="170"/>
      <c r="I46" s="51" t="str">
        <f>H46</f>
        <v>0</v>
      </c>
      <c r="J46" s="171"/>
      <c r="K46" s="172"/>
      <c r="L46" s="173"/>
      <c r="M46" s="14" t="str">
        <f>SUM(I46,L46)</f>
        <v>0</v>
      </c>
      <c r="N46" s="1"/>
      <c r="O46" s="5"/>
      <c r="P46" s="58"/>
      <c r="Q46" s="174"/>
      <c r="R46" s="59"/>
      <c r="S46" s="137"/>
      <c r="AG46" s="114"/>
    </row>
    <row r="47" spans="1:33" customHeight="1" ht="27">
      <c r="A47" s="115"/>
      <c r="B47" s="169">
        <v>27</v>
      </c>
      <c r="C47" s="131"/>
      <c r="D47" s="132"/>
      <c r="E47" s="50"/>
      <c r="F47" s="42"/>
      <c r="G47" s="40"/>
      <c r="H47" s="170"/>
      <c r="I47" s="51" t="str">
        <f>H47</f>
        <v>0</v>
      </c>
      <c r="J47" s="171"/>
      <c r="K47" s="172"/>
      <c r="L47" s="173"/>
      <c r="M47" s="14" t="str">
        <f>SUM(I47,L47)</f>
        <v>0</v>
      </c>
      <c r="N47" s="1"/>
      <c r="O47" s="5"/>
      <c r="P47" s="58"/>
      <c r="Q47" s="174"/>
      <c r="R47" s="59"/>
      <c r="S47" s="137"/>
      <c r="AG47" s="114"/>
    </row>
    <row r="48" spans="1:33" customHeight="1" ht="27">
      <c r="A48" s="115"/>
      <c r="B48" s="169">
        <v>28</v>
      </c>
      <c r="C48" s="131"/>
      <c r="D48" s="132"/>
      <c r="E48" s="50"/>
      <c r="F48" s="42"/>
      <c r="G48" s="40"/>
      <c r="H48" s="170"/>
      <c r="I48" s="51" t="str">
        <f>H48</f>
        <v>0</v>
      </c>
      <c r="J48" s="171"/>
      <c r="K48" s="172"/>
      <c r="L48" s="173"/>
      <c r="M48" s="14" t="str">
        <f>SUM(I48,L48)</f>
        <v>0</v>
      </c>
      <c r="N48" s="1"/>
      <c r="O48" s="5"/>
      <c r="P48" s="58"/>
      <c r="Q48" s="174"/>
      <c r="R48" s="59"/>
      <c r="S48" s="137"/>
      <c r="AG48" s="114"/>
    </row>
    <row r="49" spans="1:33" customHeight="1" ht="27">
      <c r="A49" s="115"/>
      <c r="B49" s="169">
        <v>29</v>
      </c>
      <c r="C49" s="131"/>
      <c r="D49" s="132"/>
      <c r="E49" s="50"/>
      <c r="F49" s="42"/>
      <c r="G49" s="40"/>
      <c r="H49" s="170"/>
      <c r="I49" s="51" t="str">
        <f>H49</f>
        <v>0</v>
      </c>
      <c r="J49" s="171"/>
      <c r="K49" s="172"/>
      <c r="L49" s="173"/>
      <c r="M49" s="14" t="str">
        <f>SUM(I49,L49)</f>
        <v>0</v>
      </c>
      <c r="N49" s="1"/>
      <c r="O49" s="5"/>
      <c r="P49" s="58"/>
      <c r="Q49" s="174"/>
      <c r="R49" s="59"/>
      <c r="S49" s="137"/>
      <c r="AG49" s="114"/>
    </row>
    <row r="50" spans="1:33" customHeight="1" ht="27">
      <c r="A50" s="115"/>
      <c r="B50" s="169">
        <v>30</v>
      </c>
      <c r="C50" s="131"/>
      <c r="D50" s="132"/>
      <c r="E50" s="50"/>
      <c r="F50" s="42"/>
      <c r="G50" s="40"/>
      <c r="H50" s="170"/>
      <c r="I50" s="51" t="str">
        <f>H50</f>
        <v>0</v>
      </c>
      <c r="J50" s="171"/>
      <c r="K50" s="172"/>
      <c r="L50" s="173"/>
      <c r="M50" s="14" t="str">
        <f>SUM(I50,L50)</f>
        <v>0</v>
      </c>
      <c r="N50" s="1"/>
      <c r="O50" s="5"/>
      <c r="P50" s="58"/>
      <c r="Q50" s="174"/>
      <c r="R50" s="59"/>
      <c r="S50" s="137"/>
      <c r="AG50" s="114"/>
    </row>
    <row r="51" spans="1:33">
      <c r="B51" s="23"/>
      <c r="C51" s="41"/>
      <c r="D51" s="79" t="inlineStr">
        <is>
          <r>
            <t xml:space="preserve"> </t>
          </r>
        </is>
      </c>
      <c r="E51" s="89"/>
      <c r="F51" s="78" t="inlineStr">
        <is>
          <r>
            <t xml:space="preserve"> SUB TOTAL :</t>
          </r>
        </is>
      </c>
      <c r="G51" s="89"/>
      <c r="H51" s="175"/>
      <c r="I51" s="12" t="str">
        <f>SUM(I21:I50)</f>
        <v>0</v>
      </c>
      <c r="J51" s="6" t="str">
        <f>SUM(J21:J50)</f>
        <v>0</v>
      </c>
      <c r="K51" s="9" t="str">
        <f>SUM(K21:K50)</f>
        <v>0</v>
      </c>
      <c r="L51" s="24" t="str">
        <f>SUM(L21:L50)</f>
        <v>0</v>
      </c>
      <c r="M51" s="4"/>
      <c r="O51" s="5"/>
      <c r="U51" s="114"/>
      <c r="V51" s="114"/>
      <c r="W51" s="114"/>
      <c r="X51" s="114"/>
      <c r="Y51" s="114"/>
      <c r="Z51" s="114"/>
      <c r="AG51"/>
    </row>
    <row r="52" spans="1:33" customHeight="1" ht="16.5" s="88" customFormat="1">
      <c r="B52" s="25"/>
      <c r="C52" s="176" t="inlineStr">
        <is>
          <r>
            <t xml:space="preserve">CFR</t>
          </r>
        </is>
      </c>
      <c r="D52" s="91"/>
      <c r="E52" s="92"/>
      <c r="F52" s="76" t="inlineStr">
        <is>
          <r>
            <t xml:space="preserve">OCEAN FREIGHT</t>
          </r>
        </is>
      </c>
      <c r="H52" s="177" t="inlineStr">
        <is>
          <r>
            <t xml:space="preserve"> </t>
          </r>
        </is>
      </c>
      <c r="I52" s="26" t="str">
        <f>SUM(L51)</f>
        <v>0</v>
      </c>
      <c r="J52" s="179"/>
      <c r="K52" s="5"/>
      <c r="L52" s="180"/>
      <c r="M52" s="4"/>
      <c r="O52" s="5"/>
      <c r="P52" s="5"/>
      <c r="Q52" s="114"/>
      <c r="R52" s="114"/>
      <c r="S52" s="114"/>
      <c r="T52" s="114"/>
      <c r="U52" s="114"/>
      <c r="V52" s="114"/>
      <c r="W52" s="114"/>
      <c r="AA52" s="114"/>
      <c r="AB52" s="114"/>
      <c r="AC52" s="114"/>
      <c r="AD52" s="114"/>
      <c r="AE52" s="114"/>
      <c r="AF52" s="114"/>
      <c r="AG52" s="114"/>
    </row>
    <row r="53" spans="1:33" customHeight="1" ht="18" s="88" customFormat="1">
      <c r="B53" s="25"/>
      <c r="C53" s="181"/>
      <c r="D53" s="181"/>
      <c r="E53" s="182"/>
      <c r="F53" s="76" t="inlineStr">
        <is>
          <r>
            <t xml:space="preserve"> </t>
          </r>
        </is>
      </c>
      <c r="H53" s="181"/>
      <c r="I53" s="178" t="inlineStr">
        <is>
          <r>
            <t xml:space="preserve"> </t>
          </r>
        </is>
      </c>
      <c r="J53" s="183"/>
      <c r="K53" s="5"/>
      <c r="L53" s="180"/>
      <c r="M53" s="4"/>
      <c r="O53" s="10" t="inlineStr">
        <is>
          <r>
            <t xml:space="preserve">인천구항</t>
          </r>
        </is>
      </c>
      <c r="P53" s="71" t="inlineStr">
        <is>
          <r>
            <t xml:space="preserve">ICT ( 020-77-002 )</t>
          </r>
        </is>
      </c>
      <c r="Q53" s="109"/>
      <c r="R53" s="109"/>
      <c r="S53" s="94"/>
      <c r="Y53" s="5"/>
      <c r="Z53" s="5"/>
      <c r="AA53" s="114"/>
      <c r="AB53" s="114"/>
      <c r="AC53" s="114"/>
      <c r="AD53" s="114"/>
      <c r="AE53" s="114"/>
      <c r="AF53" s="114"/>
      <c r="AG53" s="114"/>
    </row>
    <row r="54" spans="1:33" customHeight="1" ht="23.25" s="88" customFormat="1">
      <c r="B54" s="27"/>
      <c r="C54" s="7"/>
      <c r="D54" s="69" t="inlineStr">
        <is>
          <r>
            <t xml:space="preserve"> </t>
          </r>
        </is>
      </c>
      <c r="E54" s="184"/>
      <c r="F54" s="69" t="inlineStr">
        <is>
          <r>
            <t xml:space="preserve"> GRAND TOTAL :</t>
          </r>
        </is>
      </c>
      <c r="G54" s="184"/>
      <c r="H54" s="8"/>
      <c r="I54" s="13" t="str">
        <f>SUM(I51:I53)</f>
        <v>0</v>
      </c>
      <c r="J54" s="185"/>
      <c r="K54" s="7"/>
      <c r="L54" s="186"/>
      <c r="M54" s="4"/>
      <c r="O54" s="10" t="inlineStr">
        <is>
          <r>
            <t xml:space="preserve">선광신항</t>
          </r>
        </is>
      </c>
      <c r="P54" s="67" t="inlineStr">
        <is>
          <r>
            <t xml:space="preserve"> SNCT  ( 020-12-014 )</t>
          </r>
        </is>
      </c>
      <c r="Q54" s="109"/>
      <c r="R54" s="109"/>
      <c r="S54" s="94"/>
      <c r="Y54" s="5"/>
      <c r="Z54" s="5"/>
      <c r="AA54" s="114"/>
      <c r="AB54" s="114"/>
      <c r="AC54" s="114"/>
      <c r="AD54" s="114"/>
      <c r="AE54" s="114"/>
      <c r="AF54" s="114"/>
      <c r="AG54" s="114"/>
    </row>
    <row r="55" spans="1:33">
      <c r="B55" s="28"/>
      <c r="C55" s="68"/>
      <c r="D55" s="68"/>
      <c r="E55" s="68"/>
      <c r="F55" s="68" t="inlineStr">
        <is>
          <r>
            <t xml:space="preserve"> </t>
          </r>
        </is>
      </c>
      <c r="G55" s="68" t="inlineStr">
        <is>
          <r>
            <t xml:space="preserve">Signed By    </t>
          </r>
        </is>
      </c>
      <c r="H55" s="1"/>
      <c r="J55" s="68"/>
      <c r="K55" s="5"/>
      <c r="L55" s="29"/>
      <c r="M55" s="4"/>
      <c r="O55" s="10" t="inlineStr">
        <is>
          <r>
            <t xml:space="preserve">한진인천</t>
          </r>
        </is>
      </c>
      <c r="P55" s="67" t="inlineStr">
        <is>
          <r>
            <t xml:space="preserve">HJIT  ( 020-12-019 )</t>
          </r>
        </is>
      </c>
      <c r="Q55" s="109"/>
      <c r="R55" s="109"/>
      <c r="S55" s="94"/>
      <c r="Y55" s="5"/>
      <c r="Z55" s="5"/>
      <c r="AA55" s="114"/>
      <c r="AB55" s="114"/>
      <c r="AC55" s="114"/>
      <c r="AD55" s="114"/>
      <c r="AE55" s="114"/>
      <c r="AF55" s="114"/>
      <c r="AG55" s="114"/>
    </row>
    <row r="56" spans="1:33">
      <c r="B56" s="30"/>
      <c r="L56" s="31"/>
      <c r="O56" s="10" t="inlineStr">
        <is>
          <r>
            <t xml:space="preserve">평택</t>
          </r>
        </is>
      </c>
      <c r="P56" s="67" t="inlineStr">
        <is>
          <r>
            <t xml:space="preserve">PCTC  ( 016-12-033 )</t>
          </r>
        </is>
      </c>
      <c r="Q56" s="109"/>
      <c r="R56" s="109"/>
      <c r="S56" s="94"/>
      <c r="Y56" s="5"/>
      <c r="Z56" s="5"/>
      <c r="AF56" s="114"/>
      <c r="AG56"/>
    </row>
    <row r="57" spans="1:33" customHeight="1" ht="27" s="88" customFormat="1">
      <c r="B57" s="30"/>
      <c r="L57" s="31"/>
      <c r="O57" s="11" t="inlineStr">
        <is>
          <r>
            <t xml:space="preserve">평택동방아이포트</t>
          </r>
        </is>
      </c>
      <c r="P57" s="67" t="inlineStr">
        <is>
          <r>
            <t xml:space="preserve">PNCT  ( 016-12-002 )</t>
          </r>
        </is>
      </c>
      <c r="Q57" s="109"/>
      <c r="R57" s="109"/>
      <c r="S57" s="94"/>
      <c r="Y57" s="5"/>
      <c r="AG57" s="88"/>
    </row>
    <row r="58" spans="1:33">
      <c r="B58" s="30"/>
      <c r="L58" s="31"/>
      <c r="N58" s="1" t="inlineStr">
        <is>
          <r>
            <t xml:space="preserve"> DIESEL </t>
          </r>
        </is>
      </c>
      <c r="V58" s="114"/>
      <c r="AG58"/>
    </row>
    <row r="59" spans="1:33">
      <c r="B59" s="30"/>
      <c r="L59" s="31"/>
      <c r="N59" s="1" t="inlineStr">
        <is>
          <r>
            <t xml:space="preserve">GASOLIN</t>
          </r>
        </is>
      </c>
      <c r="AG59"/>
    </row>
    <row r="60" spans="1:33">
      <c r="B60" s="30"/>
      <c r="L60" s="31"/>
      <c r="N60" s="1" t="inlineStr">
        <is>
          <r>
            <t xml:space="preserve">LPG</t>
          </r>
        </is>
      </c>
      <c r="AG60"/>
    </row>
    <row r="61" spans="1:33">
      <c r="B61" s="32"/>
      <c r="C61" s="33"/>
      <c r="D61" s="33"/>
      <c r="E61" s="33"/>
      <c r="F61" s="33"/>
      <c r="G61" s="33"/>
      <c r="H61" s="33"/>
      <c r="I61" s="33"/>
      <c r="J61" s="33"/>
      <c r="K61" s="33"/>
      <c r="L61" s="34"/>
      <c r="AG61"/>
    </row>
  </sheetData>
  <mergeCells>
    <mergeCell ref="C52:E53"/>
    <mergeCell ref="P4:Q4"/>
    <mergeCell ref="B13:F14"/>
    <mergeCell ref="P57:S57"/>
    <mergeCell ref="N11:O11"/>
    <mergeCell ref="G10:L10"/>
    <mergeCell ref="N7:O7"/>
    <mergeCell ref="D54:E54"/>
    <mergeCell ref="G15:H16"/>
    <mergeCell ref="F54:G54"/>
    <mergeCell ref="P10:Q10"/>
    <mergeCell ref="B17:D17"/>
    <mergeCell ref="E17:F17"/>
    <mergeCell ref="D51:E51"/>
    <mergeCell ref="J11:L11"/>
    <mergeCell ref="P53:S53"/>
    <mergeCell ref="P9:Q9"/>
    <mergeCell ref="C20:D20"/>
    <mergeCell ref="B12:F12"/>
    <mergeCell ref="N3:O3"/>
    <mergeCell ref="N21:O21"/>
    <mergeCell ref="G5:L5"/>
    <mergeCell ref="B2:F2"/>
    <mergeCell ref="N12:O12"/>
    <mergeCell ref="B3:F7"/>
    <mergeCell ref="P6:Q6"/>
    <mergeCell ref="N2:O2"/>
    <mergeCell ref="P8:Q8"/>
    <mergeCell ref="F53:G53"/>
    <mergeCell ref="P2:Q2"/>
    <mergeCell ref="P55:S55"/>
    <mergeCell ref="G55:I55"/>
    <mergeCell ref="P11:Q11"/>
    <mergeCell ref="J3:L4"/>
    <mergeCell ref="F52:G52"/>
    <mergeCell ref="B8:F8"/>
    <mergeCell ref="B15:D15"/>
    <mergeCell ref="I17:L18"/>
    <mergeCell ref="N5:O5"/>
    <mergeCell ref="N8:O8"/>
    <mergeCell ref="B1:L1"/>
    <mergeCell ref="E15:F15"/>
    <mergeCell ref="P7:Q7"/>
    <mergeCell ref="H52:H53"/>
    <mergeCell ref="G9:L9"/>
    <mergeCell ref="B9:F11"/>
    <mergeCell ref="F51:G51"/>
    <mergeCell ref="P54:S54"/>
    <mergeCell ref="N10:O10"/>
    <mergeCell ref="P13:Q13"/>
    <mergeCell ref="G3:I4"/>
    <mergeCell ref="N17:R19"/>
    <mergeCell ref="N13:O13"/>
    <mergeCell ref="B16:D16"/>
    <mergeCell ref="G17:H18"/>
    <mergeCell ref="G6:L7"/>
    <mergeCell ref="G11:I11"/>
    <mergeCell ref="N9:O9"/>
    <mergeCell ref="P3:Q3"/>
    <mergeCell ref="P56:S56"/>
    <mergeCell ref="G2:L2"/>
    <mergeCell ref="E16:F16"/>
    <mergeCell ref="P12:Q12"/>
    <mergeCell ref="N6:O6"/>
    <mergeCell ref="B18:D18"/>
    <mergeCell ref="G12:L14"/>
    <mergeCell ref="G8:L8"/>
    <mergeCell ref="P5:Q5"/>
    <mergeCell ref="I15:L16"/>
    <mergeCell ref="E18:F18"/>
    <mergeCell ref="N4:O4"/>
  </mergeCells>
  <dataValidations count="10"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C52">
      <formula1>"FOB,CFR"</formula1>
    </dataValidation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E16:F16">
      <formula1>$V$2:$V$19</formula1>
    </dataValidation>
    <dataValidation type="list" allowBlank="1" showDropDown="0" showInputMessage="1" showErrorMessage="1" sqref="E16:F16">
      <formula1>$V$2:$V$19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</dataValidations>
  <printOptions gridLines="false" gridLinesSet="true" horizontalCentered="true" verticalCentered="true"/>
  <pageMargins left="0.19685039370079" right="0.19685039370079" top="0.39370078740157" bottom="0.19685039370079" header="0.19685039370079" footer="0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</dc:creator>
  <cp:lastModifiedBy>choi young suk</cp:lastModifiedBy>
  <dcterms:created xsi:type="dcterms:W3CDTF">2023-01-19T09:19:52+09:00</dcterms:created>
  <dcterms:modified xsi:type="dcterms:W3CDTF">2026-05-24T14:10:10+09:00</dcterms:modified>
  <dc:title/>
  <dc:description/>
  <dc:subject/>
  <cp:keywords/>
  <cp:category/>
</cp:coreProperties>
</file>