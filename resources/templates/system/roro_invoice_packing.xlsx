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000" yWindow="6915" windowWidth="20970" windowHeight="13815" tabRatio="600" firstSheet="0" activeTab="0" autoFilterDateGrouping="1"/>
  </bookViews>
  <sheets>
    <sheet xmlns:r="http://schemas.openxmlformats.org/officeDocument/2006/relationships" name="INVOICE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</externalReferences>
  <definedNames>
    <definedName name="_xlnm.Print_Titles" localSheetId="0">'INVOICE'!$20:$20</definedName>
    <definedName name="_xlnm.Print_Area" localSheetId="0">'INVOICE'!$B$1:$L$41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_-;\-* #,##0_-;_-* &quot;-&quot;_-;_-@_-"/>
    <numFmt numFmtId="165" formatCode="_-&quot;₩&quot;* #,##0_-;\-&quot;₩&quot;* #,##0_-;_-&quot;₩&quot;* &quot;-&quot;_-;_-@_-"/>
    <numFmt numFmtId="166" formatCode="#,##0_ "/>
    <numFmt numFmtId="167" formatCode="_-\$* #,##0_ ;_-\$* \-#,##0\ ;_-\$* &quot;-&quot;??_ ;_-@_ "/>
    <numFmt numFmtId="168" formatCode="#,##0_ ;[Red]\-#,##0\ "/>
    <numFmt numFmtId="169" formatCode="#,##0&quot; CAR(S)&quot;"/>
    <numFmt numFmtId="170" formatCode="\$#,##0_);\(\$#,##0\)"/>
    <numFmt numFmtId="171" formatCode="&quot;U$&quot;#,##0.\-"/>
    <numFmt numFmtId="172" formatCode="\$#,##0;[Red]\-\$#,##0"/>
    <numFmt numFmtId="173" formatCode="&quot;U$&quot;#,##0.00"/>
    <numFmt numFmtId="174" formatCode="&quot;U$&quot;#,##0.##"/>
    <numFmt numFmtId="175" formatCode="_-* #,##0.000_-;\-* #,##0.000_-;_-* &quot;-&quot;_-;_-@_-"/>
    <numFmt numFmtId="176" formatCode="[$-409]mmm&quot; . &quot;dd&quot; . &quot;yy;@"/>
  </numFmts>
  <fonts count="5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11"/>
    </font>
    <font>
      <name val="Arial Narrow"/>
      <family val="2"/>
      <b val="1"/>
      <i val="1"/>
      <sz val="18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Arial Narrow"/>
      <family val="2"/>
      <sz val="11"/>
    </font>
    <font>
      <name val="Arial Narrow"/>
      <family val="2"/>
      <b val="1"/>
      <sz val="10"/>
    </font>
    <font>
      <name val="Arial Narrow"/>
      <family val="2"/>
      <b val="1"/>
      <color rgb="FFFF0000"/>
      <sz val="14"/>
    </font>
    <font>
      <name val="Arial Narrow"/>
      <family val="2"/>
      <b val="1"/>
      <sz val="14"/>
    </font>
    <font>
      <name val="Arial Narrow"/>
      <family val="2"/>
      <b val="1"/>
      <color rgb="FFFF0000"/>
      <sz val="10"/>
    </font>
    <font>
      <name val="Arial Narrow"/>
      <family val="2"/>
      <b val="1"/>
      <sz val="11"/>
    </font>
    <font>
      <name val="맑은 고딕"/>
      <charset val="129"/>
      <family val="3"/>
      <b val="1"/>
      <sz val="15"/>
    </font>
    <font>
      <name val="나눔고딕"/>
      <charset val="129"/>
      <family val="3"/>
      <b val="1"/>
      <sz val="15"/>
    </font>
    <font>
      <name val="Arial Narrow"/>
      <family val="2"/>
      <b val="1"/>
      <sz val="12"/>
    </font>
    <font>
      <name val="Arial Narrow"/>
      <family val="2"/>
      <b val="1"/>
      <color rgb="FFFF0000"/>
      <sz val="15"/>
    </font>
    <font>
      <name val="Arial Unicode MS"/>
      <charset val="129"/>
      <family val="2"/>
      <b val="1"/>
      <color rgb="FFFF0000"/>
      <sz val="12"/>
    </font>
    <font>
      <name val="Arial Narrow"/>
      <family val="2"/>
      <b val="1"/>
      <color rgb="FFFF0000"/>
      <sz val="12"/>
    </font>
    <font>
      <name val="Arial Narrow"/>
      <family val="2"/>
      <b val="1"/>
      <color rgb="FFFF0000"/>
      <sz val="16"/>
    </font>
    <font>
      <name val="나눔고딕"/>
      <charset val="129"/>
      <family val="3"/>
      <b val="1"/>
      <color rgb="FFFF0000"/>
      <sz val="12"/>
    </font>
    <font>
      <name val="Arial Narrow"/>
      <family val="2"/>
      <b val="1"/>
      <color rgb="FFFF0000"/>
      <sz val="11"/>
    </font>
    <font>
      <name val="나눔고딕"/>
      <charset val="129"/>
      <family val="3"/>
      <sz val="9"/>
    </font>
    <font>
      <name val="나눔고딕"/>
      <charset val="129"/>
      <family val="3"/>
      <b val="1"/>
      <sz val="9"/>
    </font>
    <font>
      <name val="Arial Narrow"/>
      <family val="2"/>
      <b val="1"/>
      <color rgb="FFFF0000"/>
      <sz val="10"/>
      <u val="single"/>
    </font>
    <font>
      <name val="맑은 고딕"/>
      <charset val="129"/>
      <family val="2"/>
      <b val="1"/>
      <color rgb="FFFF0000"/>
      <sz val="15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Arial Narrow"/>
      <family val="2"/>
      <color rgb="FFFF0000"/>
      <sz val="8"/>
    </font>
    <font>
      <name val="Arial Narrow"/>
      <family val="2"/>
      <b val="1"/>
      <color theme="1"/>
      <sz val="11"/>
    </font>
    <font>
      <name val="Arial Narrow"/>
      <family val="2"/>
      <color rgb="FF0070C0"/>
      <sz val="9"/>
    </font>
    <font>
      <name val="Arial Narrow"/>
      <family val="2"/>
      <color rgb="FF0070C0"/>
      <sz val="8"/>
    </font>
    <font>
      <name val="HY견고딕"/>
      <charset val="129"/>
      <family val="1"/>
      <b val="1"/>
      <color rgb="FFFF0000"/>
      <sz val="16"/>
    </font>
    <font>
      <name val="맑은 고딕"/>
      <charset val="129"/>
      <family val="3"/>
      <b val="1"/>
      <sz val="11"/>
      <u val="single"/>
    </font>
    <font>
      <name val="맑은 고딕"/>
      <charset val="129"/>
      <family val="3"/>
      <b val="1"/>
      <sz val="16"/>
      <u val="single"/>
      <scheme val="major"/>
    </font>
    <font>
      <name val="맑은 고딕"/>
      <charset val="129"/>
      <family val="3"/>
      <b val="1"/>
      <sz val="16"/>
      <scheme val="major"/>
    </font>
    <font>
      <name val="Arial Unicode MS"/>
      <charset val="129"/>
      <family val="2"/>
      <sz val="11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1"/>
      <u val="single"/>
      <scheme val="minor"/>
    </font>
    <font>
      <name val="Arial Narrow"/>
      <family val="2"/>
      <sz val="9"/>
    </font>
    <font>
      <name val="Arial Unicode MS"/>
      <charset val="129"/>
      <family val="2"/>
      <b val="1"/>
      <color rgb="FFFF0000"/>
      <sz val="16"/>
    </font>
    <font>
      <name val="굴림"/>
      <charset val="129"/>
      <family val="2"/>
      <sz val="11"/>
    </font>
    <font>
      <name val="굴림"/>
      <charset val="129"/>
      <family val="2"/>
      <b val="1"/>
      <sz val="11"/>
    </font>
    <font>
      <name val="Arial Narrow"/>
      <family val="2"/>
      <color theme="0" tint="-0.499984740745262"/>
      <sz val="11"/>
    </font>
    <font>
      <name val="굴림"/>
      <charset val="129"/>
      <family val="2"/>
      <color theme="0" tint="-0.499984740745262"/>
      <sz val="11"/>
    </font>
    <font>
      <name val="맑은 고딕"/>
      <charset val="129"/>
      <family val="3"/>
      <b val="1"/>
      <sz val="11"/>
      <scheme val="maj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indexed="8"/>
      <sz val="11"/>
      <scheme val="minor"/>
    </font>
    <font>
      <name val="나눔고딕"/>
      <charset val="129"/>
      <family val="2"/>
      <b val="1"/>
      <sz val="11"/>
    </font>
    <font>
      <name val="Arial Unicode MS"/>
      <charset val="129"/>
      <family val="2"/>
      <color theme="0" tint="-0.499984740745262"/>
      <sz val="11"/>
    </font>
    <font>
      <name val="Arial"/>
      <family val="2"/>
      <b val="1"/>
      <sz val="12"/>
    </font>
  </fonts>
  <fills count="5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8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41" fontId="1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</cellStyleXfs>
  <cellXfs count="336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2">
      <alignment vertical="center"/>
    </xf>
    <xf numFmtId="0" fontId="21" fillId="0" borderId="0" applyAlignment="1" pivotButton="0" quotePrefix="0" xfId="2">
      <alignment vertical="center"/>
    </xf>
    <xf numFmtId="0" fontId="22" fillId="0" borderId="0" applyAlignment="1" pivotButton="0" quotePrefix="0" xfId="2">
      <alignment vertical="center"/>
    </xf>
    <xf numFmtId="0" fontId="7" fillId="0" borderId="0" applyAlignment="1" pivotButton="0" quotePrefix="0" xfId="2">
      <alignment vertical="center"/>
    </xf>
    <xf numFmtId="164" fontId="21" fillId="0" borderId="0" applyAlignment="1" pivotButton="0" quotePrefix="0" xfId="3">
      <alignment vertical="center"/>
    </xf>
    <xf numFmtId="0" fontId="11" fillId="0" borderId="0" applyAlignment="1" pivotButton="0" quotePrefix="0" xfId="2">
      <alignment vertical="center"/>
    </xf>
    <xf numFmtId="164" fontId="6" fillId="0" borderId="0" applyAlignment="1" pivotButton="0" quotePrefix="0" xfId="3">
      <alignment vertical="center"/>
    </xf>
    <xf numFmtId="164" fontId="6" fillId="0" borderId="0" applyAlignment="1" pivotButton="0" quotePrefix="0" xfId="3">
      <alignment vertical="center"/>
    </xf>
    <xf numFmtId="164" fontId="11" fillId="0" borderId="1" applyAlignment="1" pivotButton="0" quotePrefix="0" xfId="2">
      <alignment horizontal="center" vertical="center"/>
    </xf>
    <xf numFmtId="164" fontId="11" fillId="0" borderId="1" applyAlignment="1" pivotButton="0" quotePrefix="0" xfId="3">
      <alignment horizontal="center" vertical="center"/>
    </xf>
    <xf numFmtId="0" fontId="11" fillId="0" borderId="12" applyAlignment="1" pivotButton="0" quotePrefix="0" xfId="2">
      <alignment vertical="center"/>
    </xf>
    <xf numFmtId="0" fontId="11" fillId="0" borderId="12" applyAlignment="1" pivotButton="0" quotePrefix="0" xfId="2">
      <alignment horizontal="center" vertical="center"/>
    </xf>
    <xf numFmtId="165" fontId="11" fillId="0" borderId="12" applyAlignment="1" pivotButton="0" quotePrefix="0" xfId="4">
      <alignment horizontal="right" vertical="center"/>
    </xf>
    <xf numFmtId="166" fontId="11" fillId="0" borderId="1" applyAlignment="1" pivotButton="0" quotePrefix="0" xfId="2">
      <alignment horizontal="right" vertical="center"/>
    </xf>
    <xf numFmtId="0" fontId="35" fillId="0" borderId="8" applyAlignment="1" pivotButton="0" quotePrefix="0" xfId="2">
      <alignment vertical="center"/>
    </xf>
    <xf numFmtId="0" fontId="35" fillId="0" borderId="8" applyAlignment="1" pivotButton="0" quotePrefix="0" xfId="2">
      <alignment vertical="center" wrapText="1"/>
    </xf>
    <xf numFmtId="167" fontId="11" fillId="0" borderId="1" applyAlignment="1" pivotButton="0" quotePrefix="0" xfId="2">
      <alignment horizontal="right" vertical="center"/>
    </xf>
    <xf numFmtId="167" fontId="11" fillId="0" borderId="12" applyAlignment="1" pivotButton="0" quotePrefix="0" xfId="2">
      <alignment horizontal="right" vertical="center"/>
    </xf>
    <xf numFmtId="168" fontId="38" fillId="0" borderId="0" applyAlignment="1" pivotButton="0" quotePrefix="0" xfId="2">
      <alignment vertical="center"/>
    </xf>
    <xf numFmtId="0" fontId="42" fillId="0" borderId="0" applyAlignment="1" pivotButton="0" quotePrefix="0" xfId="2">
      <alignment vertical="center"/>
    </xf>
    <xf numFmtId="164" fontId="43" fillId="0" borderId="0" applyAlignment="1" pivotButton="0" quotePrefix="0" xfId="3">
      <alignment vertical="center"/>
    </xf>
    <xf numFmtId="0" fontId="30" fillId="0" borderId="5" applyAlignment="1" pivotButton="0" quotePrefix="0" xfId="2">
      <alignment vertical="center"/>
    </xf>
    <xf numFmtId="0" fontId="29" fillId="0" borderId="14" applyAlignment="1" pivotButton="0" quotePrefix="0" xfId="2">
      <alignment vertical="center"/>
    </xf>
    <xf numFmtId="0" fontId="27" fillId="0" borderId="14" applyAlignment="1" pivotButton="0" quotePrefix="0" xfId="2">
      <alignment vertical="center"/>
    </xf>
    <xf numFmtId="0" fontId="30" fillId="0" borderId="14" applyAlignment="1" pivotButton="0" quotePrefix="0" xfId="2">
      <alignment vertical="center"/>
    </xf>
    <xf numFmtId="0" fontId="30" fillId="0" borderId="14" applyAlignment="1" pivotButton="0" quotePrefix="0" xfId="2">
      <alignment vertical="center" wrapText="1"/>
    </xf>
    <xf numFmtId="0" fontId="10" fillId="2" borderId="17" applyAlignment="1" pivotButton="0" quotePrefix="0" xfId="2">
      <alignment horizontal="right" vertical="center"/>
    </xf>
    <xf numFmtId="0" fontId="23" fillId="2" borderId="15" applyAlignment="1" pivotButton="0" quotePrefix="0" xfId="2">
      <alignment horizontal="center" vertical="center"/>
    </xf>
    <xf numFmtId="169" fontId="23" fillId="2" borderId="15" applyAlignment="1" pivotButton="0" quotePrefix="0" xfId="2">
      <alignment horizontal="center" vertical="center" wrapText="1"/>
    </xf>
    <xf numFmtId="170" fontId="23" fillId="2" borderId="15" applyAlignment="1" pivotButton="0" quotePrefix="0" xfId="2">
      <alignment horizontal="center" vertical="center"/>
    </xf>
    <xf numFmtId="171" fontId="23" fillId="2" borderId="15" applyAlignment="1" pivotButton="0" quotePrefix="0" xfId="2">
      <alignment horizontal="center" vertical="center" wrapText="1"/>
    </xf>
    <xf numFmtId="0" fontId="23" fillId="2" borderId="15" applyAlignment="1" pivotButton="0" quotePrefix="0" xfId="2">
      <alignment horizontal="center" vertical="center" wrapText="1"/>
    </xf>
    <xf numFmtId="164" fontId="23" fillId="2" borderId="16" applyAlignment="1" pivotButton="0" quotePrefix="0" xfId="3">
      <alignment horizontal="center" vertical="center" wrapText="1"/>
    </xf>
    <xf numFmtId="164" fontId="11" fillId="0" borderId="20" applyAlignment="1" pivotButton="0" quotePrefix="0" xfId="3">
      <alignment horizontal="center" vertical="center"/>
    </xf>
    <xf numFmtId="0" fontId="11" fillId="0" borderId="6" applyAlignment="1" pivotButton="0" quotePrefix="0" xfId="2">
      <alignment vertical="center"/>
    </xf>
    <xf numFmtId="172" fontId="11" fillId="0" borderId="7" applyAlignment="1" pivotButton="0" quotePrefix="0" xfId="3">
      <alignment horizontal="right" vertical="center"/>
    </xf>
    <xf numFmtId="0" fontId="11" fillId="0" borderId="5" applyAlignment="1" pivotButton="0" quotePrefix="0" xfId="2">
      <alignment vertical="center"/>
    </xf>
    <xf numFmtId="167" fontId="11" fillId="0" borderId="0" applyAlignment="1" pivotButton="0" quotePrefix="0" xfId="2">
      <alignment horizontal="right" vertical="center"/>
    </xf>
    <xf numFmtId="173" fontId="11" fillId="0" borderId="0" applyAlignment="1" pivotButton="0" quotePrefix="0" xfId="2">
      <alignment horizontal="right" vertical="center"/>
    </xf>
    <xf numFmtId="172" fontId="11" fillId="0" borderId="4" applyAlignment="1" pivotButton="0" quotePrefix="0" xfId="2">
      <alignment vertical="center"/>
    </xf>
    <xf numFmtId="174" fontId="11" fillId="0" borderId="0" applyAlignment="1" pivotButton="0" quotePrefix="0" xfId="2">
      <alignment horizontal="right" vertical="center"/>
    </xf>
    <xf numFmtId="0" fontId="11" fillId="0" borderId="23" applyAlignment="1" pivotButton="0" quotePrefix="0" xfId="2">
      <alignment vertical="center"/>
    </xf>
    <xf numFmtId="172" fontId="11" fillId="0" borderId="24" applyAlignment="1" pivotButton="0" quotePrefix="0" xfId="2">
      <alignment vertical="center"/>
    </xf>
    <xf numFmtId="0" fontId="11" fillId="0" borderId="5" applyAlignment="1" pivotButton="0" quotePrefix="0" xfId="2">
      <alignment horizontal="left" vertical="center"/>
    </xf>
    <xf numFmtId="0" fontId="11" fillId="0" borderId="0" applyAlignment="1" pivotButton="0" quotePrefix="0" xfId="2">
      <alignment horizontal="left" vertical="center"/>
    </xf>
    <xf numFmtId="0" fontId="11" fillId="0" borderId="4" applyAlignment="1" pivotButton="0" quotePrefix="0" xfId="2">
      <alignment vertical="center"/>
    </xf>
    <xf numFmtId="0" fontId="6" fillId="0" borderId="5" applyAlignment="1" pivotButton="0" quotePrefix="0" xfId="2">
      <alignment vertical="center"/>
    </xf>
    <xf numFmtId="0" fontId="6" fillId="0" borderId="4" applyAlignment="1" pivotButton="0" quotePrefix="0" xfId="2">
      <alignment vertical="center"/>
    </xf>
    <xf numFmtId="0" fontId="6" fillId="0" borderId="6" applyAlignment="1" pivotButton="0" quotePrefix="0" xfId="2">
      <alignment vertical="center"/>
    </xf>
    <xf numFmtId="0" fontId="6" fillId="0" borderId="1" applyAlignment="1" pivotButton="0" quotePrefix="0" xfId="2">
      <alignment vertical="center"/>
    </xf>
    <xf numFmtId="0" fontId="6" fillId="0" borderId="7" applyAlignment="1" pivotButton="0" quotePrefix="0" xfId="2">
      <alignment vertical="center"/>
    </xf>
    <xf numFmtId="0" fontId="25" fillId="3" borderId="25" applyAlignment="1" pivotButton="0" quotePrefix="0" xfId="0">
      <alignment horizontal="center" vertical="center"/>
    </xf>
    <xf numFmtId="164" fontId="11" fillId="0" borderId="27" applyAlignment="1" pivotButton="0" quotePrefix="0" xfId="3">
      <alignment horizontal="center" vertical="center"/>
    </xf>
    <xf numFmtId="164" fontId="11" fillId="0" borderId="29" applyAlignment="1" pivotButton="0" quotePrefix="0" xfId="3">
      <alignment horizontal="center" vertical="center"/>
    </xf>
    <xf numFmtId="168" fontId="26" fillId="0" borderId="30" applyAlignment="1" pivotButton="0" quotePrefix="0" xfId="3">
      <alignment horizontal="right" vertical="center"/>
    </xf>
    <xf numFmtId="164" fontId="26" fillId="0" borderId="30" applyAlignment="1" pivotButton="0" quotePrefix="0" xfId="1">
      <alignment vertical="center"/>
    </xf>
    <xf numFmtId="175" fontId="26" fillId="0" borderId="30" applyAlignment="1" pivotButton="0" quotePrefix="0" xfId="1">
      <alignment vertical="center"/>
    </xf>
    <xf numFmtId="164" fontId="11" fillId="0" borderId="31" applyAlignment="1" pivotButton="0" quotePrefix="0" xfId="3">
      <alignment horizontal="center" vertical="center"/>
    </xf>
    <xf numFmtId="168" fontId="26" fillId="0" borderId="32" applyAlignment="1" pivotButton="0" quotePrefix="0" xfId="3">
      <alignment horizontal="right" vertical="center"/>
    </xf>
    <xf numFmtId="164" fontId="26" fillId="0" borderId="32" applyAlignment="1" pivotButton="0" quotePrefix="0" xfId="1">
      <alignment vertical="center"/>
    </xf>
    <xf numFmtId="175" fontId="26" fillId="0" borderId="32" applyAlignment="1" pivotButton="0" quotePrefix="0" xfId="1">
      <alignment vertical="center"/>
    </xf>
    <xf numFmtId="164" fontId="11" fillId="0" borderId="33" applyAlignment="1" pivotButton="0" quotePrefix="0" xfId="3">
      <alignment horizontal="center" vertical="center"/>
    </xf>
    <xf numFmtId="168" fontId="26" fillId="0" borderId="34" applyAlignment="1" pivotButton="0" quotePrefix="0" xfId="3">
      <alignment horizontal="right" vertical="center"/>
    </xf>
    <xf numFmtId="164" fontId="26" fillId="0" borderId="34" applyAlignment="1" pivotButton="0" quotePrefix="0" xfId="1">
      <alignment vertical="center"/>
    </xf>
    <xf numFmtId="175" fontId="26" fillId="0" borderId="34" applyAlignment="1" pivotButton="0" quotePrefix="0" xfId="1">
      <alignment vertical="center"/>
    </xf>
    <xf numFmtId="164" fontId="11" fillId="0" borderId="35" applyAlignment="1" pivotButton="0" quotePrefix="0" xfId="3">
      <alignment horizontal="center" vertical="center"/>
    </xf>
    <xf numFmtId="0" fontId="25" fillId="3" borderId="36" applyAlignment="1" pivotButton="0" quotePrefix="0" xfId="0">
      <alignment horizontal="center" vertical="center"/>
    </xf>
    <xf numFmtId="168" fontId="26" fillId="0" borderId="36" applyAlignment="1" pivotButton="0" quotePrefix="0" xfId="3">
      <alignment horizontal="right" vertical="center"/>
    </xf>
    <xf numFmtId="164" fontId="26" fillId="0" borderId="36" applyAlignment="1" pivotButton="0" quotePrefix="0" xfId="1">
      <alignment vertical="center"/>
    </xf>
    <xf numFmtId="175" fontId="26" fillId="0" borderId="36" applyAlignment="1" pivotButton="0" quotePrefix="0" xfId="1">
      <alignment vertical="center"/>
    </xf>
    <xf numFmtId="164" fontId="11" fillId="0" borderId="37" applyAlignment="1" pivotButton="0" quotePrefix="0" xfId="3">
      <alignment horizontal="center" vertical="center"/>
    </xf>
    <xf numFmtId="0" fontId="25" fillId="3" borderId="38" applyAlignment="1" pivotButton="0" quotePrefix="0" xfId="0">
      <alignment horizontal="center" vertical="center"/>
    </xf>
    <xf numFmtId="168" fontId="26" fillId="0" borderId="38" applyAlignment="1" pivotButton="0" quotePrefix="0" xfId="3">
      <alignment horizontal="right" vertical="center"/>
    </xf>
    <xf numFmtId="164" fontId="26" fillId="0" borderId="38" applyAlignment="1" pivotButton="0" quotePrefix="0" xfId="1">
      <alignment vertical="center"/>
    </xf>
    <xf numFmtId="175" fontId="26" fillId="0" borderId="38" applyAlignment="1" pivotButton="0" quotePrefix="0" xfId="1">
      <alignment vertical="center"/>
    </xf>
    <xf numFmtId="164" fontId="11" fillId="0" borderId="39" applyAlignment="1" pivotButton="0" quotePrefix="0" xfId="3">
      <alignment horizontal="center" vertical="center"/>
    </xf>
    <xf numFmtId="0" fontId="25" fillId="3" borderId="40" applyAlignment="1" pivotButton="0" quotePrefix="0" xfId="0">
      <alignment horizontal="center" vertical="center"/>
    </xf>
    <xf numFmtId="168" fontId="26" fillId="0" borderId="40" applyAlignment="1" pivotButton="0" quotePrefix="0" xfId="3">
      <alignment horizontal="right" vertical="center"/>
    </xf>
    <xf numFmtId="164" fontId="26" fillId="0" borderId="40" applyAlignment="1" pivotButton="0" quotePrefix="0" xfId="1">
      <alignment vertical="center"/>
    </xf>
    <xf numFmtId="175" fontId="26" fillId="0" borderId="40" applyAlignment="1" pivotButton="0" quotePrefix="0" xfId="1">
      <alignment vertical="center"/>
    </xf>
    <xf numFmtId="164" fontId="11" fillId="0" borderId="41" applyAlignment="1" pivotButton="0" quotePrefix="0" xfId="3">
      <alignment horizontal="center" vertical="center"/>
    </xf>
    <xf numFmtId="0" fontId="25" fillId="3" borderId="42" applyAlignment="1" pivotButton="0" quotePrefix="0" xfId="0">
      <alignment horizontal="center" vertical="center"/>
    </xf>
    <xf numFmtId="168" fontId="26" fillId="0" borderId="42" applyAlignment="1" pivotButton="0" quotePrefix="0" xfId="3">
      <alignment horizontal="right" vertical="center"/>
    </xf>
    <xf numFmtId="164" fontId="26" fillId="0" borderId="42" applyAlignment="1" pivotButton="0" quotePrefix="0" xfId="1">
      <alignment vertical="center"/>
    </xf>
    <xf numFmtId="175" fontId="26" fillId="0" borderId="42" applyAlignment="1" pivotButton="0" quotePrefix="0" xfId="1">
      <alignment vertical="center"/>
    </xf>
    <xf numFmtId="164" fontId="11" fillId="0" borderId="43" applyAlignment="1" pivotButton="0" quotePrefix="0" xfId="3">
      <alignment horizontal="center" vertical="center"/>
    </xf>
    <xf numFmtId="0" fontId="25" fillId="3" borderId="44" applyAlignment="1" pivotButton="0" quotePrefix="0" xfId="0">
      <alignment horizontal="center" vertical="center"/>
    </xf>
    <xf numFmtId="168" fontId="26" fillId="0" borderId="44" applyAlignment="1" pivotButton="0" quotePrefix="0" xfId="3">
      <alignment horizontal="right" vertical="center"/>
    </xf>
    <xf numFmtId="164" fontId="26" fillId="0" borderId="44" applyAlignment="1" pivotButton="0" quotePrefix="0" xfId="1">
      <alignment vertical="center"/>
    </xf>
    <xf numFmtId="175" fontId="26" fillId="0" borderId="44" applyAlignment="1" pivotButton="0" quotePrefix="0" xfId="1">
      <alignment vertical="center"/>
    </xf>
    <xf numFmtId="0" fontId="11" fillId="0" borderId="1" applyAlignment="1" pivotButton="0" quotePrefix="0" xfId="2">
      <alignment vertical="center"/>
    </xf>
    <xf numFmtId="164" fontId="36" fillId="0" borderId="43" applyAlignment="1" pivotButton="0" quotePrefix="0" xfId="3">
      <alignment horizontal="center" vertical="center" shrinkToFit="1"/>
    </xf>
    <xf numFmtId="172" fontId="45" fillId="0" borderId="19" applyAlignment="1" pivotButton="0" quotePrefix="0" xfId="0">
      <alignment horizontal="center" vertical="center" shrinkToFit="1"/>
    </xf>
    <xf numFmtId="0" fontId="45" fillId="0" borderId="26" applyAlignment="1" pivotButton="0" quotePrefix="0" xfId="0">
      <alignment horizontal="center" vertical="center" shrinkToFit="1"/>
    </xf>
    <xf numFmtId="0" fontId="46" fillId="0" borderId="30" applyAlignment="1" pivotButton="0" quotePrefix="0" xfId="2">
      <alignment horizontal="center" vertical="center"/>
    </xf>
    <xf numFmtId="0" fontId="46" fillId="0" borderId="32" applyAlignment="1" pivotButton="0" quotePrefix="0" xfId="2">
      <alignment horizontal="center" vertical="center"/>
    </xf>
    <xf numFmtId="0" fontId="46" fillId="0" borderId="34" applyAlignment="1" pivotButton="0" quotePrefix="0" xfId="2">
      <alignment horizontal="center" vertical="center"/>
    </xf>
    <xf numFmtId="0" fontId="46" fillId="0" borderId="36" applyAlignment="1" pivotButton="0" quotePrefix="0" xfId="2">
      <alignment horizontal="center" vertical="center"/>
    </xf>
    <xf numFmtId="0" fontId="46" fillId="0" borderId="38" applyAlignment="1" pivotButton="0" quotePrefix="0" xfId="2">
      <alignment horizontal="center" vertical="center"/>
    </xf>
    <xf numFmtId="0" fontId="46" fillId="0" borderId="40" applyAlignment="1" pivotButton="0" quotePrefix="0" xfId="2">
      <alignment horizontal="center" vertical="center"/>
    </xf>
    <xf numFmtId="0" fontId="46" fillId="0" borderId="42" applyAlignment="1" pivotButton="0" quotePrefix="0" xfId="2">
      <alignment horizontal="center" vertical="center"/>
    </xf>
    <xf numFmtId="0" fontId="46" fillId="0" borderId="44" applyAlignment="1" pivotButton="0" quotePrefix="0" xfId="2">
      <alignment horizontal="center" vertical="center"/>
    </xf>
    <xf numFmtId="172" fontId="26" fillId="0" borderId="25" applyAlignment="1" pivotButton="0" quotePrefix="0" xfId="3">
      <alignment horizontal="right" vertical="center"/>
    </xf>
    <xf numFmtId="172" fontId="26" fillId="0" borderId="30" applyAlignment="1" pivotButton="0" quotePrefix="0" xfId="1">
      <alignment vertical="center"/>
    </xf>
    <xf numFmtId="172" fontId="26" fillId="0" borderId="32" applyAlignment="1" pivotButton="0" quotePrefix="0" xfId="1">
      <alignment vertical="center"/>
    </xf>
    <xf numFmtId="172" fontId="26" fillId="0" borderId="34" applyAlignment="1" pivotButton="0" quotePrefix="0" xfId="1">
      <alignment vertical="center"/>
    </xf>
    <xf numFmtId="172" fontId="26" fillId="0" borderId="36" applyAlignment="1" pivotButton="0" quotePrefix="0" xfId="1">
      <alignment vertical="center"/>
    </xf>
    <xf numFmtId="172" fontId="26" fillId="0" borderId="38" applyAlignment="1" pivotButton="0" quotePrefix="0" xfId="1">
      <alignment vertical="center"/>
    </xf>
    <xf numFmtId="172" fontId="26" fillId="0" borderId="40" applyAlignment="1" pivotButton="0" quotePrefix="0" xfId="1">
      <alignment vertical="center"/>
    </xf>
    <xf numFmtId="172" fontId="26" fillId="0" borderId="42" applyAlignment="1" pivotButton="0" quotePrefix="0" xfId="1">
      <alignment vertical="center"/>
    </xf>
    <xf numFmtId="172" fontId="26" fillId="0" borderId="44" applyAlignment="1" pivotButton="0" quotePrefix="0" xfId="1">
      <alignment vertical="center"/>
    </xf>
    <xf numFmtId="0" fontId="44" fillId="0" borderId="45" applyAlignment="1" pivotButton="0" quotePrefix="0" xfId="2">
      <alignment horizontal="center" vertical="center"/>
    </xf>
    <xf numFmtId="0" fontId="44" fillId="0" borderId="46" applyAlignment="1" pivotButton="0" quotePrefix="0" xfId="2">
      <alignment horizontal="center" vertical="center"/>
    </xf>
    <xf numFmtId="0" fontId="44" fillId="0" borderId="47" applyAlignment="1" pivotButton="0" quotePrefix="0" xfId="2">
      <alignment horizontal="center" vertical="center"/>
    </xf>
    <xf numFmtId="0" fontId="47" fillId="0" borderId="48" applyAlignment="1" pivotButton="0" quotePrefix="0" xfId="2">
      <alignment vertical="center" shrinkToFit="1"/>
    </xf>
    <xf numFmtId="164" fontId="35" fillId="0" borderId="44" applyAlignment="1" pivotButton="0" quotePrefix="0" xfId="3">
      <alignment vertical="center" shrinkToFit="1"/>
    </xf>
    <xf numFmtId="49" fontId="6" fillId="0" borderId="49" applyAlignment="1" pivotButton="0" quotePrefix="0" xfId="3">
      <alignment horizontal="right" vertical="center" shrinkToFit="1"/>
    </xf>
    <xf numFmtId="164" fontId="48" fillId="0" borderId="0" applyAlignment="1" pivotButton="0" quotePrefix="0" xfId="3">
      <alignment vertical="center"/>
    </xf>
    <xf numFmtId="0" fontId="41" fillId="0" borderId="48" applyAlignment="1" pivotButton="0" quotePrefix="0" xfId="2">
      <alignment vertical="center" shrinkToFit="1"/>
    </xf>
    <xf numFmtId="164" fontId="40" fillId="0" borderId="44" applyAlignment="1" pivotButton="0" quotePrefix="0" xfId="3">
      <alignment vertical="center" shrinkToFit="1"/>
    </xf>
    <xf numFmtId="0" fontId="41" fillId="0" borderId="50" applyAlignment="1" pivotButton="0" quotePrefix="0" xfId="2">
      <alignment vertical="center" shrinkToFit="1"/>
    </xf>
    <xf numFmtId="164" fontId="40" fillId="0" borderId="51" applyAlignment="1" pivotButton="0" quotePrefix="0" xfId="3">
      <alignment vertical="center" shrinkToFit="1"/>
    </xf>
    <xf numFmtId="49" fontId="6" fillId="0" borderId="52" applyAlignment="1" pivotButton="0" quotePrefix="0" xfId="3">
      <alignment horizontal="right" vertical="center" shrinkToFit="1"/>
    </xf>
    <xf numFmtId="164" fontId="36" fillId="4" borderId="43" applyAlignment="1" pivotButton="0" quotePrefix="0" xfId="3">
      <alignment horizontal="center" vertical="center" shrinkToFit="1"/>
    </xf>
    <xf numFmtId="172" fontId="45" fillId="4" borderId="19" applyAlignment="1" pivotButton="0" quotePrefix="0" xfId="0">
      <alignment horizontal="center" vertical="center" shrinkToFit="1"/>
    </xf>
    <xf numFmtId="0" fontId="46" fillId="4" borderId="28" applyAlignment="1" pivotButton="0" quotePrefix="0" xfId="2">
      <alignment horizontal="center" vertical="center"/>
    </xf>
    <xf numFmtId="0" fontId="45" fillId="4" borderId="26" applyAlignment="1" pivotButton="0" quotePrefix="0" xfId="0">
      <alignment horizontal="center" vertical="center" shrinkToFit="1"/>
    </xf>
    <xf numFmtId="0" fontId="25" fillId="4" borderId="25" applyAlignment="1" pivotButton="0" quotePrefix="0" xfId="0">
      <alignment horizontal="center" vertical="center"/>
    </xf>
    <xf numFmtId="168" fontId="26" fillId="4" borderId="28" applyAlignment="1" pivotButton="0" quotePrefix="0" xfId="3">
      <alignment horizontal="right" vertical="center"/>
    </xf>
    <xf numFmtId="172" fontId="26" fillId="4" borderId="25" applyAlignment="1" pivotButton="0" quotePrefix="0" xfId="3">
      <alignment horizontal="right" vertical="center"/>
    </xf>
    <xf numFmtId="164" fontId="26" fillId="4" borderId="28" applyAlignment="1" pivotButton="0" quotePrefix="0" xfId="1">
      <alignment vertical="center"/>
    </xf>
    <xf numFmtId="175" fontId="26" fillId="4" borderId="28" applyAlignment="1" pivotButton="0" quotePrefix="0" xfId="1">
      <alignment vertical="center"/>
    </xf>
    <xf numFmtId="172" fontId="26" fillId="4" borderId="28" applyAlignment="1" pivotButton="0" quotePrefix="0" xfId="1">
      <alignment vertical="center"/>
    </xf>
    <xf numFmtId="0" fontId="46" fillId="4" borderId="30" applyAlignment="1" pivotButton="0" quotePrefix="0" xfId="2">
      <alignment horizontal="center" vertical="center"/>
    </xf>
    <xf numFmtId="168" fontId="26" fillId="4" borderId="30" applyAlignment="1" pivotButton="0" quotePrefix="0" xfId="3">
      <alignment horizontal="right" vertical="center"/>
    </xf>
    <xf numFmtId="164" fontId="26" fillId="4" borderId="30" applyAlignment="1" pivotButton="0" quotePrefix="0" xfId="1">
      <alignment vertical="center"/>
    </xf>
    <xf numFmtId="175" fontId="26" fillId="4" borderId="30" applyAlignment="1" pivotButton="0" quotePrefix="0" xfId="1">
      <alignment vertical="center"/>
    </xf>
    <xf numFmtId="172" fontId="26" fillId="4" borderId="30" applyAlignment="1" pivotButton="0" quotePrefix="0" xfId="1">
      <alignment vertical="center"/>
    </xf>
    <xf numFmtId="49" fontId="28" fillId="0" borderId="9" applyAlignment="1" pivotButton="0" quotePrefix="0" xfId="0">
      <alignment horizontal="center" vertical="center"/>
    </xf>
    <xf numFmtId="49" fontId="28" fillId="0" borderId="10" applyAlignment="1" pivotButton="0" quotePrefix="0" xfId="0">
      <alignment horizontal="center" vertical="center"/>
    </xf>
    <xf numFmtId="0" fontId="7" fillId="0" borderId="5" applyAlignment="1" pivotButton="0" quotePrefix="0" xfId="2">
      <alignment horizontal="center" vertical="center"/>
    </xf>
    <xf numFmtId="0" fontId="7" fillId="0" borderId="0" applyAlignment="1" pivotButton="0" quotePrefix="0" xfId="2">
      <alignment horizontal="center" vertical="center"/>
    </xf>
    <xf numFmtId="0" fontId="7" fillId="0" borderId="4" applyAlignment="1" pivotButton="0" quotePrefix="0" xfId="2">
      <alignment horizontal="center" vertical="center"/>
    </xf>
    <xf numFmtId="0" fontId="7" fillId="0" borderId="6" applyAlignment="1" pivotButton="0" quotePrefix="0" xfId="2">
      <alignment horizontal="center" vertical="center"/>
    </xf>
    <xf numFmtId="0" fontId="7" fillId="0" borderId="1" applyAlignment="1" pivotButton="0" quotePrefix="0" xfId="2">
      <alignment horizontal="center" vertical="center"/>
    </xf>
    <xf numFmtId="0" fontId="7" fillId="0" borderId="7" applyAlignment="1" pivotButton="0" quotePrefix="0" xfId="2">
      <alignment horizontal="center" vertical="center"/>
    </xf>
    <xf numFmtId="0" fontId="29" fillId="0" borderId="18" applyAlignment="1" pivotButton="0" quotePrefix="0" xfId="2">
      <alignment horizontal="left" vertical="center"/>
    </xf>
    <xf numFmtId="0" fontId="29" fillId="0" borderId="21" applyAlignment="1" pivotButton="0" quotePrefix="0" xfId="2">
      <alignment horizontal="left" vertical="center"/>
    </xf>
    <xf numFmtId="0" fontId="29" fillId="0" borderId="3" applyAlignment="1" pivotButton="0" quotePrefix="0" xfId="2">
      <alignment horizontal="left" vertical="center"/>
    </xf>
    <xf numFmtId="0" fontId="11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2" fillId="0" borderId="8" applyAlignment="1" pivotButton="0" quotePrefix="0" xfId="2">
      <alignment horizontal="center" vertical="center"/>
    </xf>
    <xf numFmtId="0" fontId="11" fillId="0" borderId="0" applyAlignment="1" pivotButton="0" quotePrefix="0" xfId="2">
      <alignment horizontal="left" vertical="center"/>
    </xf>
    <xf numFmtId="0" fontId="11" fillId="0" borderId="12" applyAlignment="1" pivotButton="0" quotePrefix="0" xfId="2">
      <alignment horizontal="left" vertical="center"/>
    </xf>
    <xf numFmtId="0" fontId="6" fillId="0" borderId="0" applyAlignment="1" pivotButton="0" quotePrefix="0" xfId="2">
      <alignment horizontal="center" vertical="center" wrapText="1"/>
    </xf>
    <xf numFmtId="0" fontId="6" fillId="0" borderId="8" applyAlignment="1" pivotButton="0" quotePrefix="0" xfId="2">
      <alignment horizontal="center" vertical="center"/>
    </xf>
    <xf numFmtId="0" fontId="29" fillId="0" borderId="2" applyAlignment="1" pivotButton="0" quotePrefix="0" xfId="2">
      <alignment horizontal="left" vertical="center"/>
    </xf>
    <xf numFmtId="49" fontId="12" fillId="0" borderId="5" applyAlignment="1" pivotButton="0" quotePrefix="0" xfId="2">
      <alignment horizontal="center" vertical="center" wrapText="1"/>
    </xf>
    <xf numFmtId="49" fontId="13" fillId="0" borderId="0" applyAlignment="1" pivotButton="0" quotePrefix="0" xfId="2">
      <alignment horizontal="center" vertical="center" wrapText="1"/>
    </xf>
    <xf numFmtId="49" fontId="13" fillId="0" borderId="4" applyAlignment="1" pivotButton="0" quotePrefix="0" xfId="2">
      <alignment horizontal="center" vertical="center" wrapText="1"/>
    </xf>
    <xf numFmtId="49" fontId="14" fillId="4" borderId="5" applyAlignment="1" pivotButton="0" quotePrefix="0" xfId="2">
      <alignment horizontal="left" vertical="center" wrapText="1" indent="1"/>
    </xf>
    <xf numFmtId="49" fontId="14" fillId="4" borderId="0" applyAlignment="1" pivotButton="0" quotePrefix="0" xfId="2">
      <alignment horizontal="left" vertical="center" wrapText="1" indent="1"/>
    </xf>
    <xf numFmtId="49" fontId="14" fillId="4" borderId="4" applyAlignment="1" pivotButton="0" quotePrefix="0" xfId="2">
      <alignment horizontal="left" vertical="center" wrapText="1" indent="1"/>
    </xf>
    <xf numFmtId="49" fontId="14" fillId="4" borderId="6" applyAlignment="1" pivotButton="0" quotePrefix="0" xfId="2">
      <alignment horizontal="left" vertical="center" wrapText="1" indent="1"/>
    </xf>
    <xf numFmtId="49" fontId="14" fillId="4" borderId="1" applyAlignment="1" pivotButton="0" quotePrefix="0" xfId="2">
      <alignment horizontal="left" vertical="center" wrapText="1" indent="1"/>
    </xf>
    <xf numFmtId="49" fontId="14" fillId="4" borderId="7" applyAlignment="1" pivotButton="0" quotePrefix="0" xfId="2">
      <alignment horizontal="left" vertical="center" wrapText="1" indent="1"/>
    </xf>
    <xf numFmtId="0" fontId="39" fillId="4" borderId="0" applyAlignment="1" pivotButton="0" quotePrefix="0" xfId="2">
      <alignment horizontal="center" vertical="center" wrapText="1"/>
    </xf>
    <xf numFmtId="0" fontId="18" fillId="4" borderId="0" applyAlignment="1" pivotButton="0" quotePrefix="0" xfId="2">
      <alignment horizontal="center" vertical="center" wrapText="1"/>
    </xf>
    <xf numFmtId="0" fontId="18" fillId="4" borderId="4" applyAlignment="1" pivotButton="0" quotePrefix="0" xfId="2">
      <alignment horizontal="center" vertical="center" wrapText="1"/>
    </xf>
    <xf numFmtId="49" fontId="32" fillId="0" borderId="5" applyAlignment="1" pivotButton="0" quotePrefix="0" xfId="2">
      <alignment horizontal="center" vertical="center" wrapText="1"/>
    </xf>
    <xf numFmtId="49" fontId="32" fillId="0" borderId="0" applyAlignment="1" pivotButton="0" quotePrefix="0" xfId="2">
      <alignment horizontal="center" vertical="center" wrapText="1"/>
    </xf>
    <xf numFmtId="49" fontId="37" fillId="0" borderId="0" applyAlignment="1" pivotButton="0" quotePrefix="0" xfId="2">
      <alignment horizontal="center" vertical="center" wrapText="1"/>
    </xf>
    <xf numFmtId="49" fontId="36" fillId="0" borderId="0" applyAlignment="1" pivotButton="0" quotePrefix="0" xfId="2">
      <alignment horizontal="center" vertical="center" wrapText="1"/>
    </xf>
    <xf numFmtId="49" fontId="36" fillId="0" borderId="4" applyAlignment="1" pivotButton="0" quotePrefix="0" xfId="2">
      <alignment horizontal="center" vertical="center" wrapText="1"/>
    </xf>
    <xf numFmtId="49" fontId="28" fillId="0" borderId="20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0" fontId="18" fillId="0" borderId="0" applyAlignment="1" pivotButton="0" quotePrefix="0" xfId="2">
      <alignment horizontal="center" vertical="center" wrapText="1"/>
    </xf>
    <xf numFmtId="0" fontId="18" fillId="0" borderId="4" applyAlignment="1" pivotButton="0" quotePrefix="0" xfId="2">
      <alignment horizontal="center" vertical="center" wrapText="1"/>
    </xf>
    <xf numFmtId="0" fontId="18" fillId="0" borderId="1" applyAlignment="1" pivotButton="0" quotePrefix="0" xfId="2">
      <alignment horizontal="center" vertical="center" wrapText="1"/>
    </xf>
    <xf numFmtId="0" fontId="18" fillId="0" borderId="7" applyAlignment="1" pivotButton="0" quotePrefix="0" xfId="2">
      <alignment horizontal="center" vertical="center" wrapText="1"/>
    </xf>
    <xf numFmtId="0" fontId="33" fillId="4" borderId="5" applyAlignment="1" pivotButton="0" quotePrefix="0" xfId="2">
      <alignment horizontal="center" vertical="center"/>
    </xf>
    <xf numFmtId="0" fontId="34" fillId="4" borderId="0" applyAlignment="1" pivotButton="0" quotePrefix="0" xfId="2">
      <alignment horizontal="center" vertical="center"/>
    </xf>
    <xf numFmtId="0" fontId="34" fillId="4" borderId="4" applyAlignment="1" pivotButton="0" quotePrefix="0" xfId="2">
      <alignment horizontal="center" vertical="center"/>
    </xf>
    <xf numFmtId="0" fontId="34" fillId="4" borderId="5" applyAlignment="1" pivotButton="0" quotePrefix="0" xfId="2">
      <alignment horizontal="center" vertical="center"/>
    </xf>
    <xf numFmtId="0" fontId="16" fillId="0" borderId="5" applyAlignment="1" pivotButton="0" quotePrefix="0" xfId="2">
      <alignment horizontal="center" vertical="center" wrapText="1"/>
    </xf>
    <xf numFmtId="0" fontId="17" fillId="0" borderId="0" applyAlignment="1" pivotButton="0" quotePrefix="0" xfId="2">
      <alignment horizontal="center" vertical="center" wrapText="1"/>
    </xf>
    <xf numFmtId="0" fontId="17" fillId="0" borderId="5" applyAlignment="1" pivotButton="0" quotePrefix="0" xfId="2">
      <alignment horizontal="center" vertical="center" wrapText="1"/>
    </xf>
    <xf numFmtId="0" fontId="6" fillId="0" borderId="0" applyAlignment="1" pivotButton="0" quotePrefix="0" xfId="2">
      <alignment horizontal="center" vertical="center"/>
    </xf>
    <xf numFmtId="0" fontId="24" fillId="0" borderId="21" applyAlignment="1" pivotButton="0" quotePrefix="0" xfId="2">
      <alignment horizontal="center" vertical="center"/>
    </xf>
    <xf numFmtId="0" fontId="15" fillId="0" borderId="11" applyAlignment="1" pivotButton="0" quotePrefix="0" xfId="2">
      <alignment horizontal="center" vertical="center"/>
    </xf>
    <xf numFmtId="0" fontId="11" fillId="0" borderId="0" applyAlignment="1" pivotButton="0" quotePrefix="0" xfId="2">
      <alignment horizontal="center" vertical="center"/>
    </xf>
    <xf numFmtId="0" fontId="19" fillId="0" borderId="5" applyAlignment="1" pivotButton="0" quotePrefix="0" xfId="2">
      <alignment horizontal="center" vertical="center" wrapText="1"/>
    </xf>
    <xf numFmtId="0" fontId="19" fillId="0" borderId="0" applyAlignment="1" pivotButton="0" quotePrefix="0" xfId="2">
      <alignment horizontal="center" vertical="center" wrapText="1"/>
    </xf>
    <xf numFmtId="0" fontId="19" fillId="0" borderId="6" applyAlignment="1" pivotButton="0" quotePrefix="0" xfId="2">
      <alignment horizontal="center" vertical="center" wrapText="1"/>
    </xf>
    <xf numFmtId="0" fontId="19" fillId="0" borderId="1" applyAlignment="1" pivotButton="0" quotePrefix="0" xfId="2">
      <alignment horizontal="center" vertical="center" wrapText="1"/>
    </xf>
    <xf numFmtId="0" fontId="11" fillId="0" borderId="1" applyAlignment="1" pivotButton="0" quotePrefix="0" xfId="2">
      <alignment horizontal="center" vertical="center"/>
    </xf>
    <xf numFmtId="0" fontId="11" fillId="0" borderId="1" applyAlignment="1" pivotButton="0" quotePrefix="0" xfId="2">
      <alignment horizontal="left" vertical="center"/>
    </xf>
    <xf numFmtId="0" fontId="11" fillId="4" borderId="6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49" fontId="28" fillId="4" borderId="6" applyAlignment="1" pivotButton="0" quotePrefix="0" xfId="0">
      <alignment horizontal="center" vertical="center"/>
    </xf>
    <xf numFmtId="49" fontId="28" fillId="4" borderId="7" applyAlignment="1" pivotButton="0" quotePrefix="0" xfId="0">
      <alignment horizontal="center" vertical="center"/>
    </xf>
    <xf numFmtId="0" fontId="20" fillId="0" borderId="6" applyAlignment="1" pivotButton="0" quotePrefix="0" xfId="2">
      <alignment horizontal="center" vertical="center"/>
    </xf>
    <xf numFmtId="0" fontId="20" fillId="0" borderId="7" applyAlignment="1" pivotButton="0" quotePrefix="0" xfId="2">
      <alignment horizontal="center" vertical="center"/>
    </xf>
    <xf numFmtId="0" fontId="20" fillId="0" borderId="1" applyAlignment="1" pivotButton="0" quotePrefix="0" xfId="2">
      <alignment horizontal="center" vertical="center"/>
    </xf>
    <xf numFmtId="0" fontId="31" fillId="4" borderId="21" applyAlignment="1" pivotButton="0" quotePrefix="0" xfId="2">
      <alignment horizontal="center" vertical="center"/>
    </xf>
    <xf numFmtId="0" fontId="31" fillId="4" borderId="22" applyAlignment="1" pivotButton="0" quotePrefix="0" xfId="2">
      <alignment horizontal="center" vertical="center"/>
    </xf>
    <xf numFmtId="0" fontId="31" fillId="4" borderId="11" applyAlignment="1" pivotButton="0" quotePrefix="0" xfId="2">
      <alignment horizontal="center" vertical="center"/>
    </xf>
    <xf numFmtId="0" fontId="31" fillId="4" borderId="13" applyAlignment="1" pivotButton="0" quotePrefix="0" xfId="2">
      <alignment horizontal="center" vertical="center"/>
    </xf>
    <xf numFmtId="0" fontId="23" fillId="2" borderId="15" applyAlignment="1" pivotButton="0" quotePrefix="0" xfId="2">
      <alignment horizontal="center" vertical="center"/>
    </xf>
    <xf numFmtId="0" fontId="3" fillId="0" borderId="1" applyAlignment="1" pivotButton="0" quotePrefix="0" xfId="2">
      <alignment horizontal="center" vertical="center"/>
    </xf>
    <xf numFmtId="49" fontId="7" fillId="0" borderId="5" applyAlignment="1" pivotButton="0" quotePrefix="0" xfId="2">
      <alignment horizontal="left" vertical="top" wrapText="1" indent="1"/>
    </xf>
    <xf numFmtId="49" fontId="7" fillId="0" borderId="0" applyAlignment="1" pivotButton="0" quotePrefix="0" xfId="2">
      <alignment horizontal="left" vertical="top" wrapText="1" indent="1"/>
    </xf>
    <xf numFmtId="49" fontId="7" fillId="0" borderId="4" applyAlignment="1" pivotButton="0" quotePrefix="0" xfId="2">
      <alignment horizontal="left" vertical="top" wrapText="1" indent="1"/>
    </xf>
    <xf numFmtId="49" fontId="7" fillId="0" borderId="6" applyAlignment="1" pivotButton="0" quotePrefix="0" xfId="2">
      <alignment horizontal="left" vertical="top" wrapText="1" indent="1"/>
    </xf>
    <xf numFmtId="49" fontId="7" fillId="0" borderId="1" applyAlignment="1" pivotButton="0" quotePrefix="0" xfId="2">
      <alignment horizontal="left" vertical="top" wrapText="1" indent="1"/>
    </xf>
    <xf numFmtId="49" fontId="7" fillId="0" borderId="7" applyAlignment="1" pivotButton="0" quotePrefix="0" xfId="2">
      <alignment horizontal="left" vertical="top" wrapText="1" indent="1"/>
    </xf>
    <xf numFmtId="49" fontId="8" fillId="0" borderId="5" applyAlignment="1" pivotButton="0" quotePrefix="0" xfId="2">
      <alignment horizontal="center" vertical="center"/>
    </xf>
    <xf numFmtId="49" fontId="8" fillId="0" borderId="0" applyAlignment="1" pivotButton="0" quotePrefix="0" xfId="2">
      <alignment horizontal="center" vertical="center"/>
    </xf>
    <xf numFmtId="49" fontId="8" fillId="0" borderId="6" applyAlignment="1" pivotButton="0" quotePrefix="0" xfId="2">
      <alignment horizontal="center" vertical="center"/>
    </xf>
    <xf numFmtId="49" fontId="8" fillId="0" borderId="1" applyAlignment="1" pivotButton="0" quotePrefix="0" xfId="2">
      <alignment horizontal="center" vertical="center"/>
    </xf>
    <xf numFmtId="176" fontId="9" fillId="0" borderId="0" applyAlignment="1" pivotButton="0" quotePrefix="0" xfId="2">
      <alignment horizontal="center" vertical="center"/>
    </xf>
    <xf numFmtId="176" fontId="9" fillId="0" borderId="4" applyAlignment="1" pivotButton="0" quotePrefix="0" xfId="2">
      <alignment horizontal="center" vertical="center"/>
    </xf>
    <xf numFmtId="176" fontId="9" fillId="0" borderId="1" applyAlignment="1" pivotButton="0" quotePrefix="0" xfId="2">
      <alignment horizontal="center" vertical="center"/>
    </xf>
    <xf numFmtId="176" fontId="9" fillId="0" borderId="7" applyAlignment="1" pivotButton="0" quotePrefix="0" xfId="2">
      <alignment horizontal="center" vertical="center"/>
    </xf>
    <xf numFmtId="0" fontId="29" fillId="0" borderId="0" applyAlignment="1" pivotButton="0" quotePrefix="0" xfId="2">
      <alignment horizontal="left" vertical="center"/>
    </xf>
    <xf numFmtId="0" fontId="29" fillId="0" borderId="4" applyAlignment="1" pivotButton="0" quotePrefix="0" xfId="2">
      <alignment horizontal="left" vertical="center"/>
    </xf>
    <xf numFmtId="0" fontId="11" fillId="0" borderId="4" applyAlignment="1" pivotButton="0" quotePrefix="0" xfId="2">
      <alignment horizontal="center" vertical="center"/>
    </xf>
    <xf numFmtId="0" fontId="11" fillId="0" borderId="7" applyAlignment="1" pivotButton="0" quotePrefix="0" xfId="2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29" fillId="0" borderId="53" applyAlignment="1" pivotButton="0" quotePrefix="0" xfId="2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0" fontId="29" fillId="0" borderId="22" applyAlignment="1" pivotButton="0" quotePrefix="0" xfId="2">
      <alignment horizontal="left" vertical="center"/>
    </xf>
    <xf numFmtId="0" fontId="0" fillId="0" borderId="19" pivotButton="0" quotePrefix="0" xfId="0"/>
    <xf numFmtId="49" fontId="28" fillId="0" borderId="8" applyAlignment="1" pivotButton="0" quotePrefix="0" xfId="0">
      <alignment horizontal="center" vertical="center"/>
    </xf>
    <xf numFmtId="49" fontId="7" fillId="0" borderId="54" applyAlignment="1" pivotButton="0" quotePrefix="0" xfId="2">
      <alignment horizontal="left" vertical="top" wrapText="1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49" fontId="14" fillId="4" borderId="54" applyAlignment="1" pivotButton="0" quotePrefix="0" xfId="2">
      <alignment horizontal="left" vertical="center" wrapText="1" indent="1"/>
    </xf>
    <xf numFmtId="49" fontId="12" fillId="0" borderId="57" applyAlignment="1" pivotButton="0" quotePrefix="0" xfId="2">
      <alignment horizontal="center" vertical="center" wrapText="1"/>
    </xf>
    <xf numFmtId="49" fontId="37" fillId="0" borderId="4" applyAlignment="1" pivotButton="0" quotePrefix="0" xfId="2">
      <alignment horizontal="center" vertical="center" wrapText="1"/>
    </xf>
    <xf numFmtId="0" fontId="33" fillId="4" borderId="57" applyAlignment="1" pivotButton="0" quotePrefix="0" xfId="2">
      <alignment horizontal="center" vertical="center"/>
    </xf>
    <xf numFmtId="0" fontId="7" fillId="0" borderId="54" applyAlignment="1" pivotButton="0" quotePrefix="0" xfId="2">
      <alignment horizontal="center" vertical="center"/>
    </xf>
    <xf numFmtId="0" fontId="39" fillId="4" borderId="4" applyAlignment="1" pivotButton="0" quotePrefix="0" xfId="2">
      <alignment horizontal="center" vertical="center" wrapText="1"/>
    </xf>
    <xf numFmtId="49" fontId="28" fillId="4" borderId="54" applyAlignment="1" pivotButton="0" quotePrefix="0" xfId="0">
      <alignment horizontal="center" vertical="center"/>
    </xf>
    <xf numFmtId="0" fontId="20" fillId="0" borderId="54" applyAlignment="1" pivotButton="0" quotePrefix="0" xfId="2">
      <alignment horizontal="center" vertical="center"/>
    </xf>
    <xf numFmtId="0" fontId="0" fillId="0" borderId="15" pivotButton="0" quotePrefix="0" xfId="0"/>
    <xf numFmtId="169" fontId="23" fillId="2" borderId="15" applyAlignment="1" pivotButton="0" quotePrefix="0" xfId="2">
      <alignment horizontal="center" vertical="center" wrapText="1"/>
    </xf>
    <xf numFmtId="170" fontId="23" fillId="2" borderId="15" applyAlignment="1" pivotButton="0" quotePrefix="0" xfId="2">
      <alignment horizontal="center" vertical="center"/>
    </xf>
    <xf numFmtId="171" fontId="23" fillId="2" borderId="15" applyAlignment="1" pivotButton="0" quotePrefix="0" xfId="2">
      <alignment horizontal="center" vertical="center" wrapText="1"/>
    </xf>
    <xf numFmtId="164" fontId="23" fillId="2" borderId="16" applyAlignment="1" pivotButton="0" quotePrefix="0" xfId="3">
      <alignment horizontal="center" vertical="center" wrapText="1"/>
    </xf>
    <xf numFmtId="164" fontId="6" fillId="0" borderId="0" applyAlignment="1" pivotButton="0" quotePrefix="0" xfId="3">
      <alignment vertical="center"/>
    </xf>
    <xf numFmtId="164" fontId="21" fillId="0" borderId="0" applyAlignment="1" pivotButton="0" quotePrefix="0" xfId="3">
      <alignment vertical="center"/>
    </xf>
    <xf numFmtId="164" fontId="11" fillId="0" borderId="20" applyAlignment="1" pivotButton="0" quotePrefix="0" xfId="3">
      <alignment horizontal="center" vertical="center"/>
    </xf>
    <xf numFmtId="164" fontId="36" fillId="4" borderId="43" applyAlignment="1" pivotButton="0" quotePrefix="0" xfId="3">
      <alignment horizontal="center" vertical="center" shrinkToFit="1"/>
    </xf>
    <xf numFmtId="172" fontId="45" fillId="4" borderId="19" applyAlignment="1" pivotButton="0" quotePrefix="0" xfId="0">
      <alignment horizontal="center" vertical="center" shrinkToFit="1"/>
    </xf>
    <xf numFmtId="168" fontId="26" fillId="4" borderId="28" applyAlignment="1" pivotButton="0" quotePrefix="0" xfId="3">
      <alignment horizontal="right" vertical="center"/>
    </xf>
    <xf numFmtId="172" fontId="26" fillId="4" borderId="25" applyAlignment="1" pivotButton="0" quotePrefix="0" xfId="3">
      <alignment horizontal="right" vertical="center"/>
    </xf>
    <xf numFmtId="164" fontId="26" fillId="4" borderId="28" applyAlignment="1" pivotButton="0" quotePrefix="0" xfId="1">
      <alignment vertical="center"/>
    </xf>
    <xf numFmtId="175" fontId="26" fillId="4" borderId="28" applyAlignment="1" pivotButton="0" quotePrefix="0" xfId="1">
      <alignment vertical="center"/>
    </xf>
    <xf numFmtId="172" fontId="26" fillId="4" borderId="28" applyAlignment="1" pivotButton="0" quotePrefix="0" xfId="1">
      <alignment vertical="center"/>
    </xf>
    <xf numFmtId="168" fontId="38" fillId="0" borderId="0" applyAlignment="1" pivotButton="0" quotePrefix="0" xfId="2">
      <alignment vertical="center"/>
    </xf>
    <xf numFmtId="164" fontId="11" fillId="0" borderId="27" applyAlignment="1" pivotButton="0" quotePrefix="0" xfId="3">
      <alignment horizontal="center" vertical="center"/>
    </xf>
    <xf numFmtId="168" fontId="26" fillId="4" borderId="30" applyAlignment="1" pivotButton="0" quotePrefix="0" xfId="3">
      <alignment horizontal="right" vertical="center"/>
    </xf>
    <xf numFmtId="164" fontId="26" fillId="4" borderId="30" applyAlignment="1" pivotButton="0" quotePrefix="0" xfId="1">
      <alignment vertical="center"/>
    </xf>
    <xf numFmtId="175" fontId="26" fillId="4" borderId="30" applyAlignment="1" pivotButton="0" quotePrefix="0" xfId="1">
      <alignment vertical="center"/>
    </xf>
    <xf numFmtId="172" fontId="26" fillId="4" borderId="30" applyAlignment="1" pivotButton="0" quotePrefix="0" xfId="1">
      <alignment vertical="center"/>
    </xf>
    <xf numFmtId="164" fontId="35" fillId="0" borderId="44" applyAlignment="1" pivotButton="0" quotePrefix="0" xfId="3">
      <alignment vertical="center" shrinkToFit="1"/>
    </xf>
    <xf numFmtId="164" fontId="43" fillId="0" borderId="0" applyAlignment="1" pivotButton="0" quotePrefix="0" xfId="3">
      <alignment vertical="center"/>
    </xf>
    <xf numFmtId="164" fontId="11" fillId="0" borderId="29" applyAlignment="1" pivotButton="0" quotePrefix="0" xfId="3">
      <alignment horizontal="center" vertical="center"/>
    </xf>
    <xf numFmtId="164" fontId="36" fillId="0" borderId="43" applyAlignment="1" pivotButton="0" quotePrefix="0" xfId="3">
      <alignment horizontal="center" vertical="center" shrinkToFit="1"/>
    </xf>
    <xf numFmtId="172" fontId="45" fillId="0" borderId="19" applyAlignment="1" pivotButton="0" quotePrefix="0" xfId="0">
      <alignment horizontal="center" vertical="center" shrinkToFit="1"/>
    </xf>
    <xf numFmtId="168" fontId="26" fillId="0" borderId="30" applyAlignment="1" pivotButton="0" quotePrefix="0" xfId="3">
      <alignment horizontal="right" vertical="center"/>
    </xf>
    <xf numFmtId="172" fontId="26" fillId="0" borderId="25" applyAlignment="1" pivotButton="0" quotePrefix="0" xfId="3">
      <alignment horizontal="right" vertical="center"/>
    </xf>
    <xf numFmtId="164" fontId="26" fillId="0" borderId="30" applyAlignment="1" pivotButton="0" quotePrefix="0" xfId="1">
      <alignment vertical="center"/>
    </xf>
    <xf numFmtId="175" fontId="26" fillId="0" borderId="30" applyAlignment="1" pivotButton="0" quotePrefix="0" xfId="1">
      <alignment vertical="center"/>
    </xf>
    <xf numFmtId="172" fontId="26" fillId="0" borderId="30" applyAlignment="1" pivotButton="0" quotePrefix="0" xfId="1">
      <alignment vertical="center"/>
    </xf>
    <xf numFmtId="164" fontId="48" fillId="0" borderId="0" applyAlignment="1" pivotButton="0" quotePrefix="0" xfId="3">
      <alignment vertical="center"/>
    </xf>
    <xf numFmtId="164" fontId="11" fillId="0" borderId="31" applyAlignment="1" pivotButton="0" quotePrefix="0" xfId="3">
      <alignment horizontal="center" vertical="center"/>
    </xf>
    <xf numFmtId="168" fontId="26" fillId="0" borderId="32" applyAlignment="1" pivotButton="0" quotePrefix="0" xfId="3">
      <alignment horizontal="right" vertical="center"/>
    </xf>
    <xf numFmtId="164" fontId="26" fillId="0" borderId="32" applyAlignment="1" pivotButton="0" quotePrefix="0" xfId="1">
      <alignment vertical="center"/>
    </xf>
    <xf numFmtId="175" fontId="26" fillId="0" borderId="32" applyAlignment="1" pivotButton="0" quotePrefix="0" xfId="1">
      <alignment vertical="center"/>
    </xf>
    <xf numFmtId="172" fontId="26" fillId="0" borderId="32" applyAlignment="1" pivotButton="0" quotePrefix="0" xfId="1">
      <alignment vertical="center"/>
    </xf>
    <xf numFmtId="164" fontId="11" fillId="0" borderId="33" applyAlignment="1" pivotButton="0" quotePrefix="0" xfId="3">
      <alignment horizontal="center" vertical="center"/>
    </xf>
    <xf numFmtId="168" fontId="26" fillId="0" borderId="34" applyAlignment="1" pivotButton="0" quotePrefix="0" xfId="3">
      <alignment horizontal="right" vertical="center"/>
    </xf>
    <xf numFmtId="164" fontId="26" fillId="0" borderId="34" applyAlignment="1" pivotButton="0" quotePrefix="0" xfId="1">
      <alignment vertical="center"/>
    </xf>
    <xf numFmtId="175" fontId="26" fillId="0" borderId="34" applyAlignment="1" pivotButton="0" quotePrefix="0" xfId="1">
      <alignment vertical="center"/>
    </xf>
    <xf numFmtId="172" fontId="26" fillId="0" borderId="34" applyAlignment="1" pivotButton="0" quotePrefix="0" xfId="1">
      <alignment vertical="center"/>
    </xf>
    <xf numFmtId="164" fontId="11" fillId="0" borderId="35" applyAlignment="1" pivotButton="0" quotePrefix="0" xfId="3">
      <alignment horizontal="center" vertical="center"/>
    </xf>
    <xf numFmtId="168" fontId="26" fillId="0" borderId="36" applyAlignment="1" pivotButton="0" quotePrefix="0" xfId="3">
      <alignment horizontal="right" vertical="center"/>
    </xf>
    <xf numFmtId="164" fontId="26" fillId="0" borderId="36" applyAlignment="1" pivotButton="0" quotePrefix="0" xfId="1">
      <alignment vertical="center"/>
    </xf>
    <xf numFmtId="175" fontId="26" fillId="0" borderId="36" applyAlignment="1" pivotButton="0" quotePrefix="0" xfId="1">
      <alignment vertical="center"/>
    </xf>
    <xf numFmtId="172" fontId="26" fillId="0" borderId="36" applyAlignment="1" pivotButton="0" quotePrefix="0" xfId="1">
      <alignment vertical="center"/>
    </xf>
    <xf numFmtId="164" fontId="40" fillId="0" borderId="44" applyAlignment="1" pivotButton="0" quotePrefix="0" xfId="3">
      <alignment vertical="center" shrinkToFit="1"/>
    </xf>
    <xf numFmtId="164" fontId="11" fillId="0" borderId="37" applyAlignment="1" pivotButton="0" quotePrefix="0" xfId="3">
      <alignment horizontal="center" vertical="center"/>
    </xf>
    <xf numFmtId="168" fontId="26" fillId="0" borderId="38" applyAlignment="1" pivotButton="0" quotePrefix="0" xfId="3">
      <alignment horizontal="right" vertical="center"/>
    </xf>
    <xf numFmtId="164" fontId="26" fillId="0" borderId="38" applyAlignment="1" pivotButton="0" quotePrefix="0" xfId="1">
      <alignment vertical="center"/>
    </xf>
    <xf numFmtId="175" fontId="26" fillId="0" borderId="38" applyAlignment="1" pivotButton="0" quotePrefix="0" xfId="1">
      <alignment vertical="center"/>
    </xf>
    <xf numFmtId="172" fontId="26" fillId="0" borderId="38" applyAlignment="1" pivotButton="0" quotePrefix="0" xfId="1">
      <alignment vertical="center"/>
    </xf>
    <xf numFmtId="164" fontId="11" fillId="0" borderId="39" applyAlignment="1" pivotButton="0" quotePrefix="0" xfId="3">
      <alignment horizontal="center" vertical="center"/>
    </xf>
    <xf numFmtId="168" fontId="26" fillId="0" borderId="40" applyAlignment="1" pivotButton="0" quotePrefix="0" xfId="3">
      <alignment horizontal="right" vertical="center"/>
    </xf>
    <xf numFmtId="164" fontId="26" fillId="0" borderId="40" applyAlignment="1" pivotButton="0" quotePrefix="0" xfId="1">
      <alignment vertical="center"/>
    </xf>
    <xf numFmtId="175" fontId="26" fillId="0" borderId="40" applyAlignment="1" pivotButton="0" quotePrefix="0" xfId="1">
      <alignment vertical="center"/>
    </xf>
    <xf numFmtId="172" fontId="26" fillId="0" borderId="40" applyAlignment="1" pivotButton="0" quotePrefix="0" xfId="1">
      <alignment vertical="center"/>
    </xf>
    <xf numFmtId="164" fontId="11" fillId="0" borderId="41" applyAlignment="1" pivotButton="0" quotePrefix="0" xfId="3">
      <alignment horizontal="center" vertical="center"/>
    </xf>
    <xf numFmtId="168" fontId="26" fillId="0" borderId="42" applyAlignment="1" pivotButton="0" quotePrefix="0" xfId="3">
      <alignment horizontal="right" vertical="center"/>
    </xf>
    <xf numFmtId="164" fontId="26" fillId="0" borderId="42" applyAlignment="1" pivotButton="0" quotePrefix="0" xfId="1">
      <alignment vertical="center"/>
    </xf>
    <xf numFmtId="175" fontId="26" fillId="0" borderId="42" applyAlignment="1" pivotButton="0" quotePrefix="0" xfId="1">
      <alignment vertical="center"/>
    </xf>
    <xf numFmtId="172" fontId="26" fillId="0" borderId="42" applyAlignment="1" pivotButton="0" quotePrefix="0" xfId="1">
      <alignment vertical="center"/>
    </xf>
    <xf numFmtId="164" fontId="11" fillId="0" borderId="43" applyAlignment="1" pivotButton="0" quotePrefix="0" xfId="3">
      <alignment horizontal="center" vertical="center"/>
    </xf>
    <xf numFmtId="168" fontId="26" fillId="0" borderId="44" applyAlignment="1" pivotButton="0" quotePrefix="0" xfId="3">
      <alignment horizontal="right" vertical="center"/>
    </xf>
    <xf numFmtId="164" fontId="26" fillId="0" borderId="44" applyAlignment="1" pivotButton="0" quotePrefix="0" xfId="1">
      <alignment vertical="center"/>
    </xf>
    <xf numFmtId="175" fontId="26" fillId="0" borderId="44" applyAlignment="1" pivotButton="0" quotePrefix="0" xfId="1">
      <alignment vertical="center"/>
    </xf>
    <xf numFmtId="172" fontId="26" fillId="0" borderId="44" applyAlignment="1" pivotButton="0" quotePrefix="0" xfId="1">
      <alignment vertical="center"/>
    </xf>
    <xf numFmtId="164" fontId="40" fillId="0" borderId="51" applyAlignment="1" pivotButton="0" quotePrefix="0" xfId="3">
      <alignment vertical="center" shrinkToFit="1"/>
    </xf>
    <xf numFmtId="164" fontId="11" fillId="0" borderId="1" applyAlignment="1" pivotButton="0" quotePrefix="0" xfId="2">
      <alignment horizontal="center" vertical="center"/>
    </xf>
    <xf numFmtId="167" fontId="11" fillId="0" borderId="1" applyAlignment="1" pivotButton="0" quotePrefix="0" xfId="2">
      <alignment horizontal="right" vertical="center"/>
    </xf>
    <xf numFmtId="164" fontId="11" fillId="0" borderId="1" applyAlignment="1" pivotButton="0" quotePrefix="0" xfId="3">
      <alignment horizontal="center" vertical="center"/>
    </xf>
    <xf numFmtId="166" fontId="11" fillId="0" borderId="1" applyAlignment="1" pivotButton="0" quotePrefix="0" xfId="2">
      <alignment horizontal="right" vertical="center"/>
    </xf>
    <xf numFmtId="172" fontId="11" fillId="0" borderId="7" applyAlignment="1" pivotButton="0" quotePrefix="0" xfId="3">
      <alignment horizontal="right" vertical="center"/>
    </xf>
    <xf numFmtId="0" fontId="31" fillId="4" borderId="56" applyAlignment="1" pivotButton="0" quotePrefix="0" xfId="2">
      <alignment horizontal="center" vertical="center"/>
    </xf>
    <xf numFmtId="0" fontId="24" fillId="0" borderId="58" applyAlignment="1" pivotButton="0" quotePrefix="0" xfId="2">
      <alignment horizontal="center" vertical="center"/>
    </xf>
    <xf numFmtId="167" fontId="11" fillId="0" borderId="0" applyAlignment="1" pivotButton="0" quotePrefix="0" xfId="2">
      <alignment horizontal="right" vertical="center"/>
    </xf>
    <xf numFmtId="173" fontId="11" fillId="0" borderId="0" applyAlignment="1" pivotButton="0" quotePrefix="0" xfId="2">
      <alignment horizontal="right" vertical="center"/>
    </xf>
    <xf numFmtId="172" fontId="11" fillId="0" borderId="4" applyAlignment="1" pivotButton="0" quotePrefix="0" xfId="2">
      <alignment vertical="center"/>
    </xf>
    <xf numFmtId="0" fontId="0" fillId="0" borderId="11" pivotButton="0" quotePrefix="0" xfId="0"/>
    <xf numFmtId="0" fontId="0" fillId="0" borderId="13" pivotButton="0" quotePrefix="0" xfId="0"/>
    <xf numFmtId="174" fontId="11" fillId="0" borderId="0" applyAlignment="1" pivotButton="0" quotePrefix="0" xfId="2">
      <alignment horizontal="right" vertical="center"/>
    </xf>
    <xf numFmtId="0" fontId="0" fillId="0" borderId="12" pivotButton="0" quotePrefix="0" xfId="0"/>
    <xf numFmtId="167" fontId="11" fillId="0" borderId="12" applyAlignment="1" pivotButton="0" quotePrefix="0" xfId="2">
      <alignment horizontal="right" vertical="center"/>
    </xf>
    <xf numFmtId="165" fontId="11" fillId="0" borderId="12" applyAlignment="1" pivotButton="0" quotePrefix="0" xfId="4">
      <alignment horizontal="right" vertical="center"/>
    </xf>
    <xf numFmtId="172" fontId="11" fillId="0" borderId="24" applyAlignment="1" pivotButton="0" quotePrefix="0" xfId="2">
      <alignment vertical="center"/>
    </xf>
  </cellXfs>
  <cellStyles count="8">
    <cellStyle name="표준" xfId="0" builtinId="0"/>
    <cellStyle name="쉼표 [0]" xfId="1" builtinId="6"/>
    <cellStyle name="표준 15" xfId="2"/>
    <cellStyle name="쉼표 [0] 2 2 3" xfId="3"/>
    <cellStyle name="통화 [0] 2" xfId="4"/>
    <cellStyle name="쉼표 [0] 2" xfId="5"/>
    <cellStyle name="쉼표 [0] 2 2 3 2" xfId="6"/>
    <cellStyle name="통화 [0] 2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7</col>
      <colOff>395506</colOff>
      <row>34</row>
      <rowOff>117843</rowOff>
    </from>
    <to>
      <col>11</col>
      <colOff>87052</colOff>
      <row>39</row>
      <rowOff>156194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528423" y="9918010"/>
          <a:ext cx="2760713" cy="13083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Users\man\Downloads\&#50808;&#54872;&#45236;&#50669;\&#53685;&#51109;%20&#47532;&#49828;&#53944;\2016%20&#45380;&#46020;%20&#49457;&#49888;&#47924;&#50669;%20&#54788;&#54889;&#54364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F:\Company\1000\2002&#45380;&#51648;&#52636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D:\2017&#45380;%20&#49688;&#52636;&#54788;&#54889;.xlsm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2017&#45380;%20&#49688;&#52636;&#54788;&#54889;.xlsm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J:\Company\1000\2002&#45380;&#51648;&#52636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현황판"/>
      <sheetName val="입출고"/>
      <sheetName val="차량말소신청서"/>
      <sheetName val="사업자등록증"/>
      <sheetName val="계약서"/>
      <sheetName val="매매계약서"/>
      <sheetName val="매매계약서 수출용"/>
      <sheetName val="2016 년도 성신무역 현황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</sheetData>
      <sheetData sheetId="2"/>
      <sheetData sheetId="3"/>
      <sheetData sheetId="4"/>
      <sheetData sheetId="5"/>
      <sheetData sheetId="6">
        <row r="2">
          <cell r="G2" t="str">
            <v>C142</v>
          </cell>
        </row>
        <row r="3">
          <cell r="B3">
            <v>2017</v>
          </cell>
          <cell r="C3">
            <v>5</v>
          </cell>
          <cell r="G3">
            <v>0</v>
          </cell>
          <cell r="J3">
            <v>42856</v>
          </cell>
        </row>
        <row r="4">
          <cell r="J4">
            <v>5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29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281</v>
          </cell>
          <cell r="J13">
            <v>0</v>
          </cell>
          <cell r="K13">
            <v>0</v>
          </cell>
          <cell r="L13">
            <v>25</v>
          </cell>
          <cell r="M13">
            <v>0</v>
          </cell>
          <cell r="N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10매입액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바이어23</v>
          </cell>
          <cell r="Y14" t="str">
            <v>CONSIGNEE24</v>
          </cell>
          <cell r="Z14" t="str">
            <v>팩스25</v>
          </cell>
          <cell r="AA14" t="str">
            <v>바이어전화번호26</v>
          </cell>
          <cell r="AB14" t="str">
            <v>판매금액27</v>
          </cell>
          <cell r="AC14" t="str">
            <v>계약금28</v>
          </cell>
          <cell r="AD14" t="str">
            <v>잔금29</v>
          </cell>
          <cell r="AE14" t="str">
            <v>주행거리30</v>
          </cell>
          <cell r="AF14" t="str">
            <v>사업자&amp;환급여부31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성명37</v>
          </cell>
        </row>
        <row r="15">
          <cell r="B15">
            <v>530</v>
          </cell>
          <cell r="C15" t="str">
            <v>성신</v>
          </cell>
          <cell r="D15" t="str">
            <v xml:space="preserve"> / No.1</v>
          </cell>
          <cell r="E15">
            <v>42607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0</v>
          </cell>
          <cell r="J15">
            <v>0</v>
          </cell>
          <cell r="K15">
            <v>0</v>
          </cell>
          <cell r="L15" t="str">
            <v>17소8195</v>
          </cell>
          <cell r="M15">
            <v>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0</v>
          </cell>
          <cell r="R15">
            <v>42768</v>
          </cell>
          <cell r="S15">
            <v>4374</v>
          </cell>
          <cell r="T15">
            <v>0</v>
          </cell>
          <cell r="U15">
            <v>0</v>
          </cell>
          <cell r="V15">
            <v>0</v>
          </cell>
          <cell r="W15" t="str">
            <v>UZB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  <row r="5">
          <cell r="A5" t="str">
            <v>엑센트1495</v>
          </cell>
        </row>
        <row r="6">
          <cell r="A6" t="str">
            <v>엑센트1396</v>
          </cell>
        </row>
        <row r="7">
          <cell r="A7" t="str">
            <v>엑센트1341</v>
          </cell>
        </row>
        <row r="8">
          <cell r="A8" t="str">
            <v>엑센트1591</v>
          </cell>
        </row>
        <row r="9">
          <cell r="A9" t="str">
            <v>엑센트1368</v>
          </cell>
        </row>
        <row r="10">
          <cell r="A10" t="str">
            <v>엑센트1582</v>
          </cell>
        </row>
        <row r="11">
          <cell r="A11" t="str">
            <v>엑센트</v>
          </cell>
        </row>
        <row r="12">
          <cell r="A12" t="str">
            <v>아반떼</v>
          </cell>
        </row>
        <row r="13">
          <cell r="A13" t="str">
            <v>md</v>
          </cell>
        </row>
        <row r="14">
          <cell r="A14" t="str">
            <v>아반떼오토</v>
          </cell>
        </row>
        <row r="15">
          <cell r="A15" t="str">
            <v>hd</v>
          </cell>
        </row>
        <row r="16">
          <cell r="A16" t="str">
            <v>xd</v>
          </cell>
        </row>
        <row r="17">
          <cell r="A17" t="str">
            <v>뉴아반떼</v>
          </cell>
        </row>
        <row r="18">
          <cell r="A18" t="str">
            <v>클릭</v>
          </cell>
        </row>
        <row r="19">
          <cell r="A19" t="str">
            <v>뉴클릭</v>
          </cell>
        </row>
        <row r="20">
          <cell r="A20" t="str">
            <v>엘란트라</v>
          </cell>
        </row>
        <row r="21">
          <cell r="A21" t="str">
            <v>그레이스</v>
          </cell>
        </row>
        <row r="22">
          <cell r="A22" t="str">
            <v>그레이스9</v>
          </cell>
        </row>
        <row r="23">
          <cell r="A23" t="str">
            <v>그레이스12</v>
          </cell>
        </row>
        <row r="24">
          <cell r="A24">
            <v>0</v>
          </cell>
        </row>
        <row r="25">
          <cell r="A25" t="str">
            <v>그레이스15</v>
          </cell>
        </row>
        <row r="26">
          <cell r="A26">
            <v>0</v>
          </cell>
        </row>
        <row r="27">
          <cell r="A27" t="str">
            <v>그레이스6밴</v>
          </cell>
        </row>
        <row r="28">
          <cell r="A28" t="str">
            <v>그레이스
장축6밴</v>
          </cell>
        </row>
        <row r="29">
          <cell r="A29" t="str">
            <v>그레이스
장축3밴</v>
          </cell>
        </row>
        <row r="30">
          <cell r="A30">
            <v>0</v>
          </cell>
        </row>
        <row r="31">
          <cell r="A31" t="str">
            <v>마이티 2.5톤</v>
          </cell>
        </row>
        <row r="32">
          <cell r="A32" t="str">
            <v>마이티</v>
          </cell>
        </row>
        <row r="33">
          <cell r="A33" t="str">
            <v>마이티2 터보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 t="str">
            <v>그랜드스타렉스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 t="str">
            <v>포터초장축더블캡</v>
          </cell>
        </row>
        <row r="51">
          <cell r="A51" t="str">
            <v>포터초장축슈퍼캡</v>
          </cell>
        </row>
        <row r="52">
          <cell r="A52">
            <v>0</v>
          </cell>
        </row>
        <row r="53">
          <cell r="A53" t="str">
            <v>포터</v>
          </cell>
        </row>
        <row r="54">
          <cell r="A54" t="str">
            <v>포터장축켑</v>
          </cell>
        </row>
        <row r="55">
          <cell r="A55" t="str">
            <v>포터초장축</v>
          </cell>
        </row>
        <row r="56">
          <cell r="A56" t="str">
            <v>포터2</v>
          </cell>
        </row>
        <row r="57">
          <cell r="A57">
            <v>0</v>
          </cell>
        </row>
        <row r="58">
          <cell r="A58" t="str">
            <v>포터2내장탑</v>
          </cell>
        </row>
        <row r="59">
          <cell r="A59" t="str">
            <v>포터2냉동탑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 t="str">
            <v>현대5톤트럭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 t="str">
            <v>스타렉스</v>
          </cell>
        </row>
        <row r="68">
          <cell r="A68" t="str">
            <v>스타렉스인터쿨러9</v>
          </cell>
        </row>
        <row r="69">
          <cell r="A69" t="str">
            <v>스타렉스9</v>
          </cell>
        </row>
        <row r="70">
          <cell r="A70">
            <v>0</v>
          </cell>
        </row>
        <row r="71">
          <cell r="A71" t="str">
            <v>스타렉스12</v>
          </cell>
        </row>
        <row r="72">
          <cell r="A72">
            <v>0</v>
          </cell>
        </row>
        <row r="73">
          <cell r="A73" t="str">
            <v>스타렉스6</v>
          </cell>
        </row>
        <row r="74">
          <cell r="A74">
            <v>0</v>
          </cell>
        </row>
        <row r="75">
          <cell r="A75" t="str">
            <v>스타렉스터보롱12</v>
          </cell>
        </row>
        <row r="76">
          <cell r="A76" t="str">
            <v>스타렉스4륜</v>
          </cell>
        </row>
        <row r="77">
          <cell r="A77">
            <v>0</v>
          </cell>
        </row>
        <row r="78">
          <cell r="A78" t="str">
            <v>테라칸</v>
          </cell>
        </row>
        <row r="79">
          <cell r="A79">
            <v>0</v>
          </cell>
        </row>
        <row r="80">
          <cell r="A80" t="str">
            <v>베르나</v>
          </cell>
        </row>
        <row r="81">
          <cell r="A81" t="str">
            <v>뉴베르나</v>
          </cell>
        </row>
        <row r="82">
          <cell r="A82" t="str">
            <v>베르나하이브리드</v>
          </cell>
        </row>
        <row r="83">
          <cell r="A83">
            <v>0</v>
          </cell>
        </row>
        <row r="84">
          <cell r="A84" t="str">
            <v>카운티</v>
          </cell>
        </row>
        <row r="85">
          <cell r="A85" t="str">
            <v>이-카운티</v>
          </cell>
        </row>
        <row r="86">
          <cell r="A86" t="str">
            <v>벨로스터</v>
          </cell>
        </row>
        <row r="87">
          <cell r="A87" t="str">
            <v>베르나</v>
          </cell>
        </row>
        <row r="88">
          <cell r="A88" t="str">
            <v>아토스</v>
          </cell>
        </row>
        <row r="89">
          <cell r="A89" t="str">
            <v>라비타</v>
          </cell>
        </row>
        <row r="90">
          <cell r="A90">
            <v>0</v>
          </cell>
        </row>
        <row r="91">
          <cell r="A91" t="str">
            <v>투싼</v>
          </cell>
        </row>
        <row r="92">
          <cell r="A92" t="str">
            <v>투스카니</v>
          </cell>
        </row>
        <row r="93">
          <cell r="A93" t="str">
            <v>티뷰론터뷸런스</v>
          </cell>
        </row>
        <row r="94">
          <cell r="A94">
            <v>0</v>
          </cell>
        </row>
        <row r="95">
          <cell r="A95" t="str">
            <v>쏘나타</v>
          </cell>
        </row>
        <row r="96">
          <cell r="A96" t="str">
            <v>ef쏘나타</v>
          </cell>
        </row>
        <row r="97">
          <cell r="A97">
            <v>0</v>
          </cell>
        </row>
        <row r="98">
          <cell r="A98" t="str">
            <v>뉴EF쏘나타</v>
          </cell>
        </row>
        <row r="99">
          <cell r="A99" t="str">
            <v>뉴EF쏘나타골드</v>
          </cell>
        </row>
        <row r="100">
          <cell r="A100" t="str">
            <v>쏘나타 하이브리드</v>
          </cell>
        </row>
        <row r="101">
          <cell r="A101">
            <v>0</v>
          </cell>
        </row>
        <row r="102">
          <cell r="A102" t="str">
            <v>에쿠스</v>
          </cell>
        </row>
        <row r="103">
          <cell r="A103" t="str">
            <v>i30</v>
          </cell>
        </row>
        <row r="104">
          <cell r="A104">
            <v>0</v>
          </cell>
        </row>
        <row r="105">
          <cell r="A105" t="str">
            <v>싼타페</v>
          </cell>
        </row>
        <row r="106">
          <cell r="A106" t="str">
            <v>그랜저</v>
          </cell>
        </row>
        <row r="107">
          <cell r="A107" t="str">
            <v>그랜저XG</v>
          </cell>
        </row>
        <row r="108">
          <cell r="A108" t="str">
            <v>뉴그랜저XG</v>
          </cell>
        </row>
        <row r="109">
          <cell r="A109" t="str">
            <v>그랜저TG</v>
          </cell>
        </row>
        <row r="110">
          <cell r="A110" t="str">
            <v>로체</v>
          </cell>
        </row>
        <row r="111">
          <cell r="A111" t="str">
            <v>포르테</v>
          </cell>
        </row>
        <row r="112">
          <cell r="A112" t="str">
            <v>포르테쿱</v>
          </cell>
        </row>
        <row r="113">
          <cell r="A113" t="str">
            <v>봉고</v>
          </cell>
        </row>
        <row r="114">
          <cell r="A114">
            <v>0</v>
          </cell>
        </row>
        <row r="115">
          <cell r="A115" t="str">
            <v>델타</v>
          </cell>
        </row>
        <row r="116">
          <cell r="A116" t="str">
            <v>아벨라</v>
          </cell>
        </row>
        <row r="117">
          <cell r="A117" t="str">
            <v>쎄라토</v>
          </cell>
        </row>
        <row r="118">
          <cell r="A118" t="str">
            <v>k5</v>
          </cell>
        </row>
        <row r="119">
          <cell r="A119" t="str">
            <v>k5 하이브리드</v>
          </cell>
        </row>
        <row r="120">
          <cell r="A120" t="str">
            <v>리오</v>
          </cell>
        </row>
        <row r="121">
          <cell r="A121" t="str">
            <v>리오RX-V</v>
          </cell>
        </row>
        <row r="122">
          <cell r="A122" t="str">
            <v>리오sf</v>
          </cell>
        </row>
        <row r="123">
          <cell r="A123" t="str">
            <v>세피아</v>
          </cell>
        </row>
        <row r="124">
          <cell r="A124" t="str">
            <v>세피아2</v>
          </cell>
        </row>
        <row r="125">
          <cell r="A125" t="str">
            <v>세피아오토</v>
          </cell>
        </row>
        <row r="126">
          <cell r="A126" t="str">
            <v>스펙트라</v>
          </cell>
        </row>
        <row r="127">
          <cell r="A127" t="str">
            <v>스펙트라윙</v>
          </cell>
        </row>
        <row r="128">
          <cell r="A128" t="str">
            <v>비스토</v>
          </cell>
        </row>
        <row r="129">
          <cell r="A129" t="str">
            <v>슈마</v>
          </cell>
        </row>
        <row r="130">
          <cell r="A130" t="str">
            <v>프라이드웨곤</v>
          </cell>
        </row>
        <row r="131">
          <cell r="A131" t="str">
            <v>프라이드</v>
          </cell>
        </row>
        <row r="132">
          <cell r="A132">
            <v>0</v>
          </cell>
        </row>
        <row r="133">
          <cell r="A133" t="str">
            <v>프런티어</v>
          </cell>
        </row>
        <row r="134">
          <cell r="A134">
            <v>0</v>
          </cell>
        </row>
        <row r="135">
          <cell r="A135" t="str">
            <v>스포티지</v>
          </cell>
        </row>
        <row r="137">
          <cell r="A137" t="str">
            <v>프런티어1.3톤</v>
          </cell>
        </row>
        <row r="138">
          <cell r="A138" t="str">
            <v>오텍봉고킹캡</v>
          </cell>
        </row>
        <row r="139">
          <cell r="A139">
            <v>0</v>
          </cell>
        </row>
        <row r="140">
          <cell r="A140" t="str">
            <v>프런티어1.4톤</v>
          </cell>
        </row>
        <row r="141">
          <cell r="A141" t="str">
            <v>봉고킹캡</v>
          </cell>
        </row>
        <row r="142">
          <cell r="A142">
            <v>0</v>
          </cell>
        </row>
        <row r="143">
          <cell r="A143" t="str">
            <v>오텍프런티어</v>
          </cell>
        </row>
        <row r="144">
          <cell r="A144">
            <v>0</v>
          </cell>
        </row>
        <row r="145">
          <cell r="A145" t="str">
            <v>봉고3</v>
          </cell>
        </row>
        <row r="146">
          <cell r="A146" t="str">
            <v>봉고3 1.2</v>
          </cell>
        </row>
        <row r="147">
          <cell r="A147" t="str">
            <v>봉고3 1.4</v>
          </cell>
        </row>
        <row r="148">
          <cell r="A148" t="str">
            <v>봉고3 1톤</v>
          </cell>
        </row>
        <row r="149">
          <cell r="A149" t="str">
            <v>봉고3 카고</v>
          </cell>
        </row>
        <row r="150">
          <cell r="A150" t="str">
            <v>봉고3 플러스</v>
          </cell>
        </row>
        <row r="151">
          <cell r="A151" t="str">
            <v>봉고프런티어킹캡</v>
          </cell>
        </row>
        <row r="152">
          <cell r="A152" t="str">
            <v>봉고프런티어4륜</v>
          </cell>
        </row>
        <row r="153">
          <cell r="A153" t="str">
            <v>봉고프런티어</v>
          </cell>
        </row>
        <row r="154">
          <cell r="A154" t="str">
            <v>봉고3 탑</v>
          </cell>
        </row>
        <row r="155">
          <cell r="A155" t="str">
            <v>봉고 트런티어 탑</v>
          </cell>
        </row>
        <row r="156">
          <cell r="A156" t="str">
            <v>봉고프런티어 GLS</v>
          </cell>
        </row>
        <row r="157">
          <cell r="A157" t="str">
            <v>마티즈</v>
          </cell>
        </row>
        <row r="158">
          <cell r="A158" t="str">
            <v>마티즈0.8at</v>
          </cell>
        </row>
        <row r="159">
          <cell r="A159" t="str">
            <v>마티즈0.8mt</v>
          </cell>
        </row>
        <row r="160">
          <cell r="A160" t="str">
            <v>마티즈밴 AT</v>
          </cell>
        </row>
        <row r="161">
          <cell r="A161">
            <v>0</v>
          </cell>
        </row>
        <row r="162">
          <cell r="A162" t="str">
            <v>윈스톰</v>
          </cell>
        </row>
        <row r="163">
          <cell r="A163" t="str">
            <v>라노스1.3</v>
          </cell>
        </row>
        <row r="164">
          <cell r="A164" t="str">
            <v>라노스1.5</v>
          </cell>
        </row>
        <row r="165">
          <cell r="A165" t="str">
            <v>라노스해치백1.3</v>
          </cell>
        </row>
        <row r="166">
          <cell r="A166" t="str">
            <v>라노스해치백1.5</v>
          </cell>
        </row>
        <row r="167">
          <cell r="A167" t="str">
            <v>라노스</v>
          </cell>
        </row>
        <row r="168">
          <cell r="A168">
            <v>0</v>
          </cell>
        </row>
        <row r="169">
          <cell r="A169" t="str">
            <v>매그너스</v>
          </cell>
        </row>
        <row r="170">
          <cell r="A170">
            <v>0</v>
          </cell>
        </row>
        <row r="171">
          <cell r="A171" t="str">
            <v>누비라1.5</v>
          </cell>
        </row>
        <row r="173">
          <cell r="A173" t="str">
            <v>라세티1.6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 t="str">
            <v>라세티5</v>
          </cell>
        </row>
        <row r="177">
          <cell r="A177" t="str">
            <v>라세티5 mt</v>
          </cell>
        </row>
        <row r="178">
          <cell r="A178">
            <v>0</v>
          </cell>
        </row>
        <row r="179">
          <cell r="A179" t="str">
            <v>라세티1.5</v>
          </cell>
        </row>
        <row r="180">
          <cell r="A180">
            <v>0</v>
          </cell>
        </row>
        <row r="181">
          <cell r="A181" t="str">
            <v>젠트라1.5</v>
          </cell>
        </row>
        <row r="182">
          <cell r="A182" t="str">
            <v>젠트라1.6</v>
          </cell>
        </row>
        <row r="183">
          <cell r="A183" t="str">
            <v>젠트라1.2</v>
          </cell>
        </row>
        <row r="185">
          <cell r="A185" t="str">
            <v>칼로스1.2</v>
          </cell>
        </row>
        <row r="186">
          <cell r="A186" t="str">
            <v>칼로스1.5</v>
          </cell>
        </row>
        <row r="187">
          <cell r="A187" t="str">
            <v>티코</v>
          </cell>
        </row>
        <row r="188">
          <cell r="A188" t="str">
            <v>다마스</v>
          </cell>
        </row>
        <row r="189">
          <cell r="A189" t="str">
            <v>다마스밴</v>
          </cell>
        </row>
        <row r="190">
          <cell r="A190" t="str">
            <v>다마스5</v>
          </cell>
        </row>
        <row r="191">
          <cell r="A191" t="str">
            <v>다마스7</v>
          </cell>
        </row>
        <row r="192">
          <cell r="A192" t="str">
            <v>레간자</v>
          </cell>
        </row>
        <row r="193">
          <cell r="A193" t="str">
            <v>레간자2.0</v>
          </cell>
        </row>
        <row r="194">
          <cell r="A194" t="str">
            <v>라보</v>
          </cell>
        </row>
        <row r="195">
          <cell r="A195" t="str">
            <v>라보롱카고</v>
          </cell>
        </row>
        <row r="196">
          <cell r="A196">
            <v>0</v>
          </cell>
        </row>
        <row r="197">
          <cell r="A197" t="str">
            <v>라보5MT</v>
          </cell>
        </row>
        <row r="198">
          <cell r="A198" t="str">
            <v>CR-V</v>
          </cell>
        </row>
        <row r="199">
          <cell r="A199" t="str">
            <v>쏘울</v>
          </cell>
        </row>
        <row r="200">
          <cell r="A200" t="str">
            <v>모닝</v>
          </cell>
        </row>
        <row r="201">
          <cell r="A201" t="str">
            <v>쏘렌토</v>
          </cell>
        </row>
        <row r="202">
          <cell r="A202" t="str">
            <v>쏘렌토gl</v>
          </cell>
        </row>
        <row r="203">
          <cell r="A203" t="str">
            <v>쏘렌토GLS</v>
          </cell>
        </row>
        <row r="204">
          <cell r="A204">
            <v>0</v>
          </cell>
        </row>
        <row r="205">
          <cell r="A205" t="str">
            <v>파맥스</v>
          </cell>
        </row>
        <row r="206">
          <cell r="A206" t="str">
            <v>타우너</v>
          </cell>
        </row>
        <row r="207">
          <cell r="A207" t="str">
            <v>프레지오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 t="str">
            <v>오피러스</v>
          </cell>
        </row>
        <row r="213">
          <cell r="A213" t="str">
            <v>옵티마</v>
          </cell>
        </row>
        <row r="214">
          <cell r="A214" t="str">
            <v>옵티마리갈</v>
          </cell>
        </row>
        <row r="215">
          <cell r="A215" t="str">
            <v>sm3</v>
          </cell>
        </row>
        <row r="216">
          <cell r="A216">
            <v>520</v>
          </cell>
        </row>
        <row r="217">
          <cell r="A217" t="str">
            <v>520 LPG</v>
          </cell>
        </row>
        <row r="218">
          <cell r="A218">
            <v>518</v>
          </cell>
        </row>
        <row r="219">
          <cell r="A219" t="str">
            <v>525V</v>
          </cell>
        </row>
        <row r="220">
          <cell r="A220" t="str">
            <v>520v</v>
          </cell>
        </row>
        <row r="221">
          <cell r="A221">
            <v>518</v>
          </cell>
        </row>
        <row r="222">
          <cell r="A222" t="str">
            <v>시에로</v>
          </cell>
        </row>
        <row r="223">
          <cell r="A223">
            <v>518</v>
          </cell>
        </row>
        <row r="224">
          <cell r="A224">
            <v>518</v>
          </cell>
        </row>
        <row r="225">
          <cell r="A225">
            <v>518</v>
          </cell>
        </row>
        <row r="226">
          <cell r="A226">
            <v>518</v>
          </cell>
        </row>
        <row r="227">
          <cell r="A227">
            <v>518</v>
          </cell>
        </row>
        <row r="228">
          <cell r="A228">
            <v>518</v>
          </cell>
        </row>
        <row r="229">
          <cell r="A229" t="str">
            <v>bmw525i</v>
          </cell>
        </row>
        <row r="230">
          <cell r="A230">
            <v>518</v>
          </cell>
        </row>
        <row r="231">
          <cell r="A231">
            <v>518</v>
          </cell>
        </row>
        <row r="232">
          <cell r="A232">
            <v>518</v>
          </cell>
        </row>
        <row r="233">
          <cell r="A233">
            <v>518</v>
          </cell>
        </row>
        <row r="234">
          <cell r="A234">
            <v>518</v>
          </cell>
        </row>
        <row r="235">
          <cell r="A235" t="str">
            <v>무쏘</v>
          </cell>
        </row>
        <row r="236">
          <cell r="A236" t="str">
            <v>뉴무쏘</v>
          </cell>
        </row>
        <row r="237">
          <cell r="A237" t="str">
            <v>카니발</v>
          </cell>
        </row>
        <row r="238">
          <cell r="A238" t="str">
            <v>카니발2</v>
          </cell>
        </row>
        <row r="239">
          <cell r="A239" t="str">
            <v>카렌스</v>
          </cell>
        </row>
        <row r="240">
          <cell r="A240" t="str">
            <v>렉스턴</v>
          </cell>
        </row>
        <row r="241">
          <cell r="A241" t="str">
            <v>체어맨</v>
          </cell>
        </row>
        <row r="242">
          <cell r="A242">
            <v>518</v>
          </cell>
        </row>
        <row r="243">
          <cell r="A243">
            <v>518</v>
          </cell>
        </row>
        <row r="244">
          <cell r="A244" t="str">
            <v>이스타나</v>
          </cell>
        </row>
        <row r="245">
          <cell r="A245" t="str">
            <v>이스타나15</v>
          </cell>
        </row>
        <row r="246">
          <cell r="A246" t="str">
            <v>이스타나12</v>
          </cell>
        </row>
        <row r="247">
          <cell r="A247" t="str">
            <v>이스타나6밴</v>
          </cell>
        </row>
        <row r="248">
          <cell r="A248" t="str">
            <v>엑티언</v>
          </cell>
        </row>
        <row r="249">
          <cell r="A249" t="str">
            <v>엑티언스포츠</v>
          </cell>
        </row>
        <row r="250">
          <cell r="A250" t="str">
            <v>코란도</v>
          </cell>
        </row>
        <row r="251">
          <cell r="A251" t="str">
            <v>렉서스ES330</v>
          </cell>
        </row>
        <row r="252">
          <cell r="A252" t="str">
            <v>렉서스ES350</v>
          </cell>
        </row>
        <row r="253">
          <cell r="A253" t="str">
            <v>렉서스LS430</v>
          </cell>
        </row>
        <row r="254">
          <cell r="A254" t="str">
            <v>렉서스GS300</v>
          </cell>
        </row>
        <row r="255">
          <cell r="A255" t="str">
            <v>렉서스LS460</v>
          </cell>
        </row>
        <row r="256">
          <cell r="A256" t="str">
            <v>렉서스LS460L</v>
          </cell>
        </row>
        <row r="257">
          <cell r="A257" t="str">
            <v>벤츠 C-240</v>
          </cell>
        </row>
        <row r="258">
          <cell r="A258" t="str">
            <v>아우디a6</v>
          </cell>
        </row>
        <row r="259">
          <cell r="A259" t="str">
            <v>아우디a4</v>
          </cell>
        </row>
        <row r="260">
          <cell r="A260" t="str">
            <v>엑센트</v>
          </cell>
        </row>
        <row r="261">
          <cell r="A261" t="str">
            <v>스타렉스인터쿨러9인4WD</v>
          </cell>
        </row>
        <row r="262">
          <cell r="A262" t="str">
            <v>스타렉스9</v>
          </cell>
        </row>
        <row r="263">
          <cell r="A263" t="str">
            <v>뉴스타렉스4륜AT</v>
          </cell>
        </row>
        <row r="264">
          <cell r="A264" t="str">
            <v>스타렉스인터쿨러단축9인</v>
          </cell>
        </row>
        <row r="265">
          <cell r="A265" t="str">
            <v>프라이드해치백</v>
          </cell>
        </row>
        <row r="266">
          <cell r="A266" t="str">
            <v>싼타페AT</v>
          </cell>
        </row>
        <row r="267">
          <cell r="A267" t="str">
            <v>뉴스타렉스12</v>
          </cell>
        </row>
        <row r="268">
          <cell r="A268" t="str">
            <v>포터II냉동탑차</v>
          </cell>
        </row>
        <row r="269">
          <cell r="A269" t="str">
            <v>포터II슈퍼캡냉동탑차</v>
          </cell>
        </row>
        <row r="270">
          <cell r="A270" t="str">
            <v>다마스5인승</v>
          </cell>
        </row>
        <row r="271">
          <cell r="A271" t="str">
            <v>카운티25</v>
          </cell>
        </row>
        <row r="272">
          <cell r="A272" t="str">
            <v>프라이드가솔린해치</v>
          </cell>
        </row>
        <row r="273">
          <cell r="A273" t="str">
            <v>봉고 III 코치15</v>
          </cell>
        </row>
        <row r="274">
          <cell r="A274" t="str">
            <v>그레이스15인승</v>
          </cell>
        </row>
        <row r="275">
          <cell r="A275" t="str">
            <v>프라이드해치백디젤</v>
          </cell>
        </row>
        <row r="276">
          <cell r="A276" t="str">
            <v>올뉴마티즈</v>
          </cell>
        </row>
        <row r="277">
          <cell r="A277" t="str">
            <v>갤로퍼</v>
          </cell>
        </row>
        <row r="278">
          <cell r="A278" t="str">
            <v>그랜드스타렉스12</v>
          </cell>
        </row>
        <row r="279">
          <cell r="A279" t="str">
            <v>투싼 AT</v>
          </cell>
        </row>
        <row r="280">
          <cell r="A280" t="str">
            <v>봉고 III 1.2톤카고</v>
          </cell>
        </row>
        <row r="281">
          <cell r="A281" t="str">
            <v>투싼 CRDI</v>
          </cell>
        </row>
        <row r="282">
          <cell r="A282" t="str">
            <v>카운티25</v>
          </cell>
        </row>
        <row r="283">
          <cell r="A283" t="str">
            <v>그레이스터보15인</v>
          </cell>
        </row>
        <row r="284">
          <cell r="A284" t="str">
            <v>그레이스터보15인승</v>
          </cell>
        </row>
        <row r="285">
          <cell r="A285" t="str">
            <v>포터II냉동탑차</v>
          </cell>
        </row>
        <row r="286">
          <cell r="A286" t="str">
            <v>봉고 III 코치15</v>
          </cell>
        </row>
        <row r="287">
          <cell r="A287" t="str">
            <v>봉고 III 1톤카고</v>
          </cell>
        </row>
        <row r="288">
          <cell r="A288" t="str">
            <v>봉고III 코치</v>
          </cell>
        </row>
        <row r="289">
          <cell r="A289" t="str">
            <v>봉고III 1톤</v>
          </cell>
        </row>
        <row r="290">
          <cell r="A290" t="str">
            <v>봉고 III 12인승</v>
          </cell>
        </row>
        <row r="291">
          <cell r="A291" t="str">
            <v>오텍파라메딕특수구급차</v>
          </cell>
        </row>
        <row r="292">
          <cell r="A292" t="str">
            <v>봉고 III 카고</v>
          </cell>
        </row>
        <row r="293">
          <cell r="A293" t="str">
            <v>스타렉스4wdAT</v>
          </cell>
        </row>
        <row r="294">
          <cell r="A294" t="str">
            <v>포터II 카고</v>
          </cell>
        </row>
        <row r="295">
          <cell r="A295" t="str">
            <v>프라이드1.6</v>
          </cell>
        </row>
        <row r="296">
          <cell r="A296" t="str">
            <v>스타렉스7인승</v>
          </cell>
        </row>
        <row r="297">
          <cell r="A297" t="str">
            <v>뉴스타렉스9</v>
          </cell>
        </row>
        <row r="298">
          <cell r="A298" t="str">
            <v>봉고III냉탑</v>
          </cell>
        </row>
        <row r="299">
          <cell r="A299" t="str">
            <v>프라이드해치백디젤</v>
          </cell>
        </row>
        <row r="300">
          <cell r="A300" t="str">
            <v>테라칸ex</v>
          </cell>
        </row>
        <row r="301">
          <cell r="A301" t="str">
            <v>라세티</v>
          </cell>
        </row>
        <row r="302">
          <cell r="A302" t="str">
            <v>뉴스타렉스12</v>
          </cell>
        </row>
        <row r="303">
          <cell r="A303" t="str">
            <v>봉고III코치</v>
          </cell>
        </row>
        <row r="304">
          <cell r="A304" t="str">
            <v>뉴스타렉스</v>
          </cell>
        </row>
        <row r="305">
          <cell r="A305" t="str">
            <v>테라칸 JX250</v>
          </cell>
        </row>
        <row r="306">
          <cell r="A306" t="str">
            <v>스타렉스4륜</v>
          </cell>
        </row>
        <row r="307">
          <cell r="A307" t="str">
            <v>뉴스타렉스사륜</v>
          </cell>
        </row>
        <row r="308">
          <cell r="A308" t="str">
            <v>라세티해치백가솔린</v>
          </cell>
        </row>
        <row r="309">
          <cell r="A309" t="str">
            <v>스타렉스사륜</v>
          </cell>
        </row>
        <row r="310">
          <cell r="A310" t="str">
            <v>갤로퍼II승합</v>
          </cell>
        </row>
        <row r="311">
          <cell r="A311" t="str">
            <v>갤로퍼</v>
          </cell>
        </row>
        <row r="312">
          <cell r="A312" t="str">
            <v>라세티해치백</v>
          </cell>
        </row>
        <row r="313">
          <cell r="A313" t="str">
            <v>뉴스타렉스12인승2륜</v>
          </cell>
        </row>
        <row r="314">
          <cell r="A314">
            <v>518</v>
          </cell>
        </row>
        <row r="315">
          <cell r="A315">
            <v>518</v>
          </cell>
        </row>
        <row r="316">
          <cell r="A316">
            <v>518</v>
          </cell>
        </row>
        <row r="317">
          <cell r="A317">
            <v>518</v>
          </cell>
        </row>
        <row r="318">
          <cell r="A318">
            <v>518</v>
          </cell>
        </row>
        <row r="319">
          <cell r="A319">
            <v>518</v>
          </cell>
        </row>
        <row r="320">
          <cell r="A320">
            <v>518</v>
          </cell>
        </row>
        <row r="321">
          <cell r="A321">
            <v>518</v>
          </cell>
        </row>
        <row r="322">
          <cell r="A322">
            <v>518</v>
          </cell>
        </row>
        <row r="323">
          <cell r="A323">
            <v>518</v>
          </cell>
        </row>
        <row r="324">
          <cell r="A324">
            <v>518</v>
          </cell>
        </row>
        <row r="325">
          <cell r="A325">
            <v>518</v>
          </cell>
        </row>
        <row r="326">
          <cell r="A326">
            <v>518</v>
          </cell>
        </row>
        <row r="327">
          <cell r="A327">
            <v>518</v>
          </cell>
        </row>
        <row r="328">
          <cell r="A328">
            <v>518</v>
          </cell>
        </row>
        <row r="329">
          <cell r="A329">
            <v>518</v>
          </cell>
        </row>
        <row r="330">
          <cell r="A330">
            <v>518</v>
          </cell>
        </row>
        <row r="331">
          <cell r="A331">
            <v>518</v>
          </cell>
        </row>
        <row r="332">
          <cell r="A332">
            <v>518</v>
          </cell>
        </row>
        <row r="333">
          <cell r="A333">
            <v>518</v>
          </cell>
        </row>
        <row r="334">
          <cell r="A334">
            <v>518</v>
          </cell>
        </row>
        <row r="335">
          <cell r="A335">
            <v>518</v>
          </cell>
        </row>
        <row r="336">
          <cell r="A336">
            <v>518</v>
          </cell>
        </row>
        <row r="337">
          <cell r="A337">
            <v>518</v>
          </cell>
        </row>
        <row r="338">
          <cell r="A338">
            <v>518</v>
          </cell>
        </row>
        <row r="339">
          <cell r="A339">
            <v>518</v>
          </cell>
        </row>
        <row r="340">
          <cell r="A340">
            <v>518</v>
          </cell>
        </row>
        <row r="341">
          <cell r="A341">
            <v>518</v>
          </cell>
        </row>
      </sheetData>
      <sheetData sheetId="2"/>
      <sheetData sheetId="3"/>
      <sheetData sheetId="4"/>
      <sheetData sheetId="5"/>
      <sheetData sheetId="6">
        <row r="2">
          <cell r="G2" t="str">
            <v>KJ1705-22</v>
          </cell>
        </row>
        <row r="3">
          <cell r="B3">
            <v>2017</v>
          </cell>
          <cell r="C3">
            <v>5</v>
          </cell>
          <cell r="G3">
            <v>5</v>
          </cell>
          <cell r="J3">
            <v>42856</v>
          </cell>
        </row>
        <row r="4">
          <cell r="J4">
            <v>5</v>
          </cell>
        </row>
        <row r="12">
          <cell r="B12">
            <v>5</v>
          </cell>
          <cell r="C12">
            <v>5</v>
          </cell>
          <cell r="D12">
            <v>5</v>
          </cell>
          <cell r="E12">
            <v>5</v>
          </cell>
          <cell r="F12">
            <v>5</v>
          </cell>
          <cell r="G12">
            <v>5</v>
          </cell>
          <cell r="H12">
            <v>5</v>
          </cell>
          <cell r="I12">
            <v>5</v>
          </cell>
          <cell r="J12">
            <v>5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31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284</v>
          </cell>
          <cell r="J13">
            <v>284</v>
          </cell>
          <cell r="K13">
            <v>284</v>
          </cell>
          <cell r="L13">
            <v>31</v>
          </cell>
          <cell r="M13">
            <v>31</v>
          </cell>
          <cell r="N13">
            <v>31</v>
          </cell>
          <cell r="Q13">
            <v>31</v>
          </cell>
          <cell r="R13">
            <v>31</v>
          </cell>
          <cell r="S13">
            <v>31</v>
          </cell>
          <cell r="T13">
            <v>31</v>
          </cell>
          <cell r="U13">
            <v>31</v>
          </cell>
          <cell r="V13">
            <v>31</v>
          </cell>
          <cell r="W13">
            <v>31</v>
          </cell>
          <cell r="X13">
            <v>31</v>
          </cell>
          <cell r="Y13">
            <v>31</v>
          </cell>
          <cell r="Z13">
            <v>31</v>
          </cell>
          <cell r="AB13">
            <v>31</v>
          </cell>
          <cell r="AC13">
            <v>31</v>
          </cell>
          <cell r="AD13">
            <v>31</v>
          </cell>
          <cell r="AE13">
            <v>31</v>
          </cell>
          <cell r="AF13">
            <v>31</v>
          </cell>
          <cell r="AG13">
            <v>31</v>
          </cell>
          <cell r="AH13">
            <v>31</v>
          </cell>
          <cell r="AI13">
            <v>31</v>
          </cell>
          <cell r="AJ13">
            <v>31</v>
          </cell>
          <cell r="AK13">
            <v>31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10영세율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매입처23</v>
          </cell>
          <cell r="Y14" t="str">
            <v>CONSIGNEE24</v>
          </cell>
          <cell r="Z14" t="str">
            <v>팩스25</v>
          </cell>
          <cell r="AA14" t="str">
            <v>전화번호26</v>
          </cell>
          <cell r="AB14" t="str">
            <v>실매입금27</v>
          </cell>
          <cell r="AC14" t="str">
            <v>선입금28</v>
          </cell>
          <cell r="AD14" t="str">
            <v>잔금29</v>
          </cell>
          <cell r="AE14" t="str">
            <v>실거래 차액30</v>
          </cell>
          <cell r="AF14" t="str">
            <v>차액받은날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현재고</v>
          </cell>
        </row>
        <row r="15">
          <cell r="B15">
            <v>530</v>
          </cell>
          <cell r="C15" t="str">
            <v>성신</v>
          </cell>
          <cell r="D15" t="str">
            <v>1 / No.1</v>
          </cell>
          <cell r="E15">
            <v>42873.019456018519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42873</v>
          </cell>
          <cell r="J15">
            <v>0</v>
          </cell>
          <cell r="K15">
            <v>1600000</v>
          </cell>
          <cell r="L15" t="str">
            <v>17소8195</v>
          </cell>
          <cell r="M15">
            <v>1600000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42607</v>
          </cell>
          <cell r="R15">
            <v>42768</v>
          </cell>
          <cell r="S15">
            <v>4374</v>
          </cell>
          <cell r="T15">
            <v>4374</v>
          </cell>
          <cell r="U15">
            <v>4374</v>
          </cell>
          <cell r="V15">
            <v>4374</v>
          </cell>
          <cell r="W15" t="str">
            <v>UZB</v>
          </cell>
          <cell r="X15" t="str">
            <v>구자견 이사</v>
          </cell>
          <cell r="Y15" t="str"/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str">
            <v>개인</v>
          </cell>
          <cell r="AI15" t="str">
            <v>김용식</v>
          </cell>
          <cell r="AJ15" t="str">
            <v>650704-1471211</v>
          </cell>
          <cell r="AK15" t="str">
            <v>인천시 부평구 장제로 28번길</v>
          </cell>
          <cell r="AL15" t="str">
            <v>SSYA1701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A1:AG41"/>
  <sheetViews>
    <sheetView showZeros="0" tabSelected="1" view="pageBreakPreview" topLeftCell="A11" zoomScale="80" zoomScaleNormal="90" zoomScaleSheetLayoutView="80" workbookViewId="0">
      <selection activeCell="C32" sqref="C32:E33"/>
    </sheetView>
  </sheetViews>
  <sheetFormatPr baseColWidth="8" defaultColWidth="9" defaultRowHeight="16.5"/>
  <cols>
    <col width="0.875" customWidth="1" style="2" min="1" max="1"/>
    <col width="4.25" customWidth="1" style="1" min="2" max="2"/>
    <col width="10.625" customWidth="1" style="1" min="3" max="4"/>
    <col width="8.625" customWidth="1" style="1" min="5" max="5"/>
    <col width="21.625" customWidth="1" style="1" min="6" max="6"/>
    <col width="7.75" customWidth="1" style="1" min="7" max="7"/>
    <col width="11.375" bestFit="1" customWidth="1" style="1" min="8" max="8"/>
    <col width="12.5" bestFit="1" customWidth="1" style="1" min="9" max="9"/>
    <col width="8.25" customWidth="1" style="1" min="10" max="11"/>
    <col width="10.375" customWidth="1" style="1" min="12" max="12"/>
    <col width="9" customWidth="1" style="1" min="13" max="16"/>
    <col width="14.125" customWidth="1" style="1" min="17" max="17"/>
    <col width="9.375" bestFit="1" customWidth="1" style="1" min="18" max="18"/>
    <col width="9" customWidth="1" style="1" min="19" max="16384"/>
  </cols>
  <sheetData>
    <row r="1" ht="47.25" customHeight="1" s="229">
      <c r="B1" s="210" t="inlineStr">
        <is>
          <t>COMMERCIAL INVOICE &amp; PACKING LIST</t>
        </is>
      </c>
      <c r="C1" s="230" t="n"/>
      <c r="D1" s="230" t="n"/>
      <c r="E1" s="230" t="n"/>
      <c r="F1" s="230" t="n"/>
      <c r="G1" s="230" t="n"/>
      <c r="H1" s="230" t="n"/>
      <c r="I1" s="230" t="n"/>
      <c r="J1" s="230" t="n"/>
      <c r="K1" s="230" t="n"/>
      <c r="L1" s="230" t="n"/>
    </row>
    <row r="2" ht="18" customHeight="1" s="229">
      <c r="B2" s="231" t="inlineStr">
        <is>
          <t>1) Shipper / Exporter</t>
        </is>
      </c>
      <c r="C2" s="232" t="n"/>
      <c r="D2" s="232" t="n"/>
      <c r="E2" s="232" t="n"/>
      <c r="F2" s="233" t="n"/>
      <c r="G2" s="234" t="inlineStr">
        <is>
          <t>8) No. &amp; date of invoice</t>
        </is>
      </c>
      <c r="H2" s="232" t="n"/>
      <c r="I2" s="232" t="n"/>
      <c r="J2" s="232" t="n"/>
      <c r="K2" s="232" t="n"/>
      <c r="L2" s="233" t="n"/>
      <c r="N2" s="150" t="inlineStr">
        <is>
          <t>INCHOEN, KOREA</t>
        </is>
      </c>
      <c r="O2" s="235" t="n"/>
      <c r="P2" s="236" t="inlineStr">
        <is>
          <t>AZERBAIJAN</t>
        </is>
      </c>
      <c r="Q2" s="235" t="n"/>
      <c r="T2" s="20" t="inlineStr">
        <is>
          <t>INCHOEN, KOREA</t>
        </is>
      </c>
      <c r="U2" s="20" t="n"/>
      <c r="V2" s="20" t="inlineStr">
        <is>
          <t>AZERBAIJAN</t>
        </is>
      </c>
    </row>
    <row r="3" ht="15.75" customHeight="1" s="229">
      <c r="B3" s="237" t="inlineStr">
        <is>
          <t>SSANCAR LTD.,
63, Seonghyeon-ro, Ilsandong-gu, Goyang-si, 
Gyeonggi-do, Republic of Korea
TEL:82-505-355-9977 
FAX:82-505-366-9977
EMAIL : man99777@naver.com</t>
        </is>
      </c>
      <c r="F3" s="238" t="n"/>
      <c r="G3" s="219" t="n"/>
      <c r="J3" s="224">
        <f>TODAY()</f>
        <v/>
      </c>
      <c r="L3" s="238" t="n"/>
      <c r="N3" s="150" t="inlineStr">
        <is>
          <t>MASAN, KOREA</t>
        </is>
      </c>
      <c r="O3" s="235" t="n"/>
      <c r="P3" s="236" t="inlineStr">
        <is>
          <t>DURRESS,  ALBANIA</t>
        </is>
      </c>
      <c r="Q3" s="235" t="n"/>
      <c r="T3" s="20" t="inlineStr">
        <is>
          <t>MASAN, KOREA</t>
        </is>
      </c>
      <c r="U3" s="20" t="n"/>
      <c r="V3" s="20" t="inlineStr">
        <is>
          <t>DURRESS,  ALBANIA</t>
        </is>
      </c>
    </row>
    <row r="4" ht="15.75" customHeight="1" s="229">
      <c r="B4" s="239" t="n"/>
      <c r="F4" s="238" t="n"/>
      <c r="G4" s="240" t="n"/>
      <c r="H4" s="230" t="n"/>
      <c r="I4" s="230" t="n"/>
      <c r="J4" s="230" t="n"/>
      <c r="K4" s="230" t="n"/>
      <c r="L4" s="241" t="n"/>
      <c r="N4" s="151" t="inlineStr">
        <is>
          <t>PYEONGTAEK, KOREA</t>
        </is>
      </c>
      <c r="O4" s="235" t="n"/>
      <c r="P4" s="236" t="inlineStr">
        <is>
          <t>KYRGYZSTAN</t>
        </is>
      </c>
      <c r="Q4" s="235" t="n"/>
      <c r="T4" s="20" t="inlineStr">
        <is>
          <t>PYEONGTAEK, KOREA</t>
        </is>
      </c>
      <c r="U4" s="20" t="n"/>
      <c r="V4" s="20" t="inlineStr">
        <is>
          <t>KYRGYZSTAN</t>
        </is>
      </c>
    </row>
    <row r="5" ht="18" customHeight="1" s="229">
      <c r="B5" s="239" t="n"/>
      <c r="F5" s="238" t="n"/>
      <c r="G5" s="226" t="inlineStr">
        <is>
          <t>9) No. &amp; date of L/C</t>
        </is>
      </c>
      <c r="L5" s="238" t="n"/>
      <c r="N5" s="151" t="inlineStr">
        <is>
          <t xml:space="preserve"> </t>
        </is>
      </c>
      <c r="O5" s="235" t="n"/>
      <c r="P5" s="236" t="inlineStr">
        <is>
          <t>VLADIVOSTOK,  RUSSIA</t>
        </is>
      </c>
      <c r="Q5" s="235" t="n"/>
      <c r="T5" s="20" t="inlineStr">
        <is>
          <t>BUSAN, KOREA</t>
        </is>
      </c>
      <c r="U5" s="20" t="n"/>
      <c r="V5" s="20" t="inlineStr">
        <is>
          <t>VLADIVOSTOK,  RUSSIA</t>
        </is>
      </c>
    </row>
    <row r="6" ht="15.75" customHeight="1" s="229">
      <c r="B6" s="239" t="n"/>
      <c r="F6" s="238" t="n"/>
      <c r="G6" s="228" t="inlineStr">
        <is>
          <t>TTR BASE</t>
        </is>
      </c>
      <c r="L6" s="238" t="n"/>
      <c r="N6" s="151" t="inlineStr">
        <is>
          <t xml:space="preserve"> </t>
        </is>
      </c>
      <c r="O6" s="235" t="n"/>
      <c r="P6" s="236" t="inlineStr">
        <is>
          <t>NAKHODKA,  RUSSIA</t>
        </is>
      </c>
      <c r="Q6" s="235" t="n"/>
      <c r="T6" s="20" t="n"/>
      <c r="U6" s="20" t="n"/>
      <c r="V6" s="20" t="inlineStr">
        <is>
          <t>NAKHODKA,  RUSSIA</t>
        </is>
      </c>
    </row>
    <row r="7" ht="15.75" customHeight="1" s="229">
      <c r="B7" s="240" t="n"/>
      <c r="C7" s="230" t="n"/>
      <c r="D7" s="230" t="n"/>
      <c r="E7" s="230" t="n"/>
      <c r="F7" s="241" t="n"/>
      <c r="G7" s="230" t="n"/>
      <c r="H7" s="230" t="n"/>
      <c r="I7" s="230" t="n"/>
      <c r="J7" s="230" t="n"/>
      <c r="K7" s="230" t="n"/>
      <c r="L7" s="241" t="n"/>
      <c r="N7" s="151" t="inlineStr">
        <is>
          <t xml:space="preserve"> </t>
        </is>
      </c>
      <c r="O7" s="235" t="n"/>
      <c r="P7" s="236" t="inlineStr">
        <is>
          <t>KAZAKHSTAN</t>
        </is>
      </c>
      <c r="Q7" s="235" t="n"/>
      <c r="T7" s="20" t="n"/>
      <c r="U7" s="20" t="n"/>
      <c r="V7" s="20" t="inlineStr">
        <is>
          <t>KAZAKHSTAN</t>
        </is>
      </c>
    </row>
    <row r="8" ht="18" customHeight="1" s="229">
      <c r="B8" s="231" t="inlineStr">
        <is>
          <t>2) For account &amp; risk of Messers.</t>
        </is>
      </c>
      <c r="C8" s="232" t="n"/>
      <c r="D8" s="232" t="n"/>
      <c r="E8" s="232" t="n"/>
      <c r="F8" s="233" t="n"/>
      <c r="G8" s="234" t="inlineStr">
        <is>
          <t>10) L/C issuing bank</t>
        </is>
      </c>
      <c r="H8" s="232" t="n"/>
      <c r="I8" s="232" t="n"/>
      <c r="J8" s="232" t="n"/>
      <c r="K8" s="232" t="n"/>
      <c r="L8" s="233" t="n"/>
      <c r="N8" s="151" t="n"/>
      <c r="O8" s="235" t="n"/>
      <c r="P8" s="236" t="inlineStr">
        <is>
          <t>BURGAS,  BULGARIA</t>
        </is>
      </c>
      <c r="Q8" s="235" t="n"/>
      <c r="T8" s="20" t="n"/>
      <c r="U8" s="20" t="n"/>
      <c r="V8" s="20" t="inlineStr">
        <is>
          <t>BURGAS,  BULGARIA</t>
        </is>
      </c>
    </row>
    <row r="9" ht="48.75" customHeight="1" s="229">
      <c r="B9" s="242" t="inlineStr">
        <is>
          <t>Cereku Andi
J80525075Q
Durres, Fushe Kruje, Hasan village, Hasan street, private building, 
1 floor, cadastral area no. 1934, building / Postal Code : 1934
+ ‪0696688738</t>
        </is>
      </c>
      <c r="F9" s="238" t="n"/>
      <c r="G9" s="243" t="inlineStr">
        <is>
          <t xml:space="preserve"> </t>
        </is>
      </c>
      <c r="L9" s="238" t="n"/>
      <c r="N9" s="151" t="n"/>
      <c r="O9" s="235" t="n"/>
      <c r="P9" s="236" t="inlineStr">
        <is>
          <t>MOLDOVA</t>
        </is>
      </c>
      <c r="Q9" s="235" t="n"/>
      <c r="T9" s="20" t="n"/>
      <c r="U9" s="20" t="n"/>
      <c r="V9" s="20" t="inlineStr">
        <is>
          <t>MOLDOVA</t>
        </is>
      </c>
    </row>
    <row r="10" ht="18" customHeight="1" s="229">
      <c r="B10" s="239" t="n"/>
      <c r="F10" s="238" t="n"/>
      <c r="G10" s="234" t="inlineStr">
        <is>
          <t>*Remark</t>
        </is>
      </c>
      <c r="H10" s="232" t="n"/>
      <c r="I10" s="232" t="n"/>
      <c r="J10" s="232" t="n"/>
      <c r="K10" s="232" t="n"/>
      <c r="L10" s="233" t="n"/>
      <c r="N10" s="151" t="n"/>
      <c r="O10" s="235" t="n"/>
      <c r="P10" s="236" t="inlineStr">
        <is>
          <t>KLAIPEDA</t>
        </is>
      </c>
      <c r="Q10" s="235" t="n"/>
      <c r="T10" s="20" t="n"/>
      <c r="U10" s="20" t="n"/>
      <c r="V10" s="20" t="inlineStr">
        <is>
          <t>KLAIPEDA</t>
        </is>
      </c>
    </row>
    <row r="11" ht="42" customHeight="1" s="229">
      <c r="B11" s="240" t="n"/>
      <c r="C11" s="230" t="n"/>
      <c r="D11" s="230" t="n"/>
      <c r="E11" s="230" t="n"/>
      <c r="F11" s="241" t="n"/>
      <c r="G11" s="170" t="inlineStr">
        <is>
          <t>USED KOREAN CARS</t>
        </is>
      </c>
      <c r="J11" s="244" t="inlineStr">
        <is>
          <t>Q'TY : UNIT</t>
        </is>
      </c>
      <c r="L11" s="238" t="n"/>
      <c r="N11" s="151" t="n"/>
      <c r="O11" s="235" t="n"/>
      <c r="P11" s="236" t="inlineStr">
        <is>
          <t>NORRKOPING</t>
        </is>
      </c>
      <c r="Q11" s="235" t="n"/>
      <c r="T11" s="20" t="n"/>
      <c r="U11" s="20" t="n"/>
      <c r="V11" s="20" t="inlineStr">
        <is>
          <t>NORRKOPING</t>
        </is>
      </c>
    </row>
    <row r="12" ht="18" customHeight="1" s="229">
      <c r="B12" s="231" t="inlineStr">
        <is>
          <t>3) Notify party</t>
        </is>
      </c>
      <c r="C12" s="232" t="n"/>
      <c r="D12" s="232" t="n"/>
      <c r="E12" s="232" t="n"/>
      <c r="F12" s="233" t="n"/>
      <c r="G12" s="245" t="inlineStr">
        <is>
          <t>RORO 6-2_2</t>
        </is>
      </c>
      <c r="L12" s="238" t="n"/>
      <c r="N12" s="151" t="n"/>
      <c r="O12" s="235" t="n"/>
      <c r="P12" s="236" t="inlineStr">
        <is>
          <t>U.A.E (DUBAI)</t>
        </is>
      </c>
      <c r="Q12" s="235" t="n"/>
      <c r="T12" s="20" t="n"/>
      <c r="U12" s="20" t="n"/>
      <c r="V12" s="20" t="inlineStr">
        <is>
          <t>U.A.E (DUBAI)</t>
        </is>
      </c>
    </row>
    <row r="13" ht="13.5" customHeight="1" s="229">
      <c r="B13" s="246" t="inlineStr">
        <is>
          <t>SAME AS ABOVE</t>
        </is>
      </c>
      <c r="F13" s="238" t="n"/>
      <c r="G13" s="239" t="n"/>
      <c r="L13" s="238" t="n"/>
      <c r="N13" s="151" t="n"/>
      <c r="O13" s="235" t="n"/>
      <c r="P13" s="236" t="inlineStr">
        <is>
          <t>CHILE</t>
        </is>
      </c>
      <c r="Q13" s="235" t="n"/>
      <c r="T13" s="20" t="n"/>
      <c r="U13" s="20" t="n"/>
      <c r="V13" s="20" t="inlineStr">
        <is>
          <t>CHILE</t>
        </is>
      </c>
    </row>
    <row r="14" ht="13.5" customHeight="1" s="229">
      <c r="B14" s="240" t="n"/>
      <c r="C14" s="230" t="n"/>
      <c r="D14" s="230" t="n"/>
      <c r="E14" s="230" t="n"/>
      <c r="F14" s="241" t="n"/>
      <c r="G14" s="239" t="n"/>
      <c r="L14" s="238" t="n"/>
      <c r="T14" s="20" t="n"/>
      <c r="U14" s="20" t="n"/>
      <c r="V14" s="20" t="n"/>
    </row>
    <row r="15" ht="18" customHeight="1" s="229">
      <c r="B15" s="231" t="inlineStr">
        <is>
          <t>4) Port of loading</t>
        </is>
      </c>
      <c r="C15" s="232" t="n"/>
      <c r="D15" s="233" t="n"/>
      <c r="E15" s="234" t="inlineStr">
        <is>
          <t>5) Final Destination</t>
        </is>
      </c>
      <c r="F15" s="233" t="n"/>
      <c r="G15" s="185" t="inlineStr">
        <is>
          <t xml:space="preserve">반입지 : </t>
        </is>
      </c>
      <c r="I15" s="247" t="inlineStr">
        <is>
          <t>인천항 3부두</t>
        </is>
      </c>
      <c r="L15" s="238" t="n"/>
      <c r="T15" s="20" t="n"/>
      <c r="U15" s="20" t="n"/>
      <c r="V15" s="20" t="n"/>
    </row>
    <row r="16" ht="24" customHeight="1" s="229">
      <c r="B16" s="198" t="inlineStr">
        <is>
          <t>INCHOEN, KOREA</t>
        </is>
      </c>
      <c r="C16" s="230" t="n"/>
      <c r="D16" s="230" t="n"/>
      <c r="E16" s="248" t="inlineStr">
        <is>
          <t>DURRESS,  ALBANIA</t>
        </is>
      </c>
      <c r="F16" s="241" t="n"/>
      <c r="G16" s="239" t="n"/>
      <c r="L16" s="238" t="n"/>
      <c r="Q16" s="6" t="n"/>
      <c r="T16" s="20" t="n"/>
      <c r="U16" s="20" t="n"/>
      <c r="V16" s="20" t="n"/>
    </row>
    <row r="17" ht="18" customHeight="1" s="229">
      <c r="B17" s="231" t="inlineStr">
        <is>
          <t>6) Vessel name</t>
        </is>
      </c>
      <c r="C17" s="232" t="n"/>
      <c r="D17" s="233" t="n"/>
      <c r="E17" s="234" t="inlineStr">
        <is>
          <t>7) Sailing on or about</t>
        </is>
      </c>
      <c r="F17" s="233" t="n"/>
      <c r="G17" s="194" t="inlineStr">
        <is>
          <t xml:space="preserve"> </t>
        </is>
      </c>
      <c r="I17" s="180" t="n"/>
      <c r="L17" s="238" t="n"/>
      <c r="N17" s="155" t="inlineStr">
        <is>
          <t>SSANCAR MADAGASCAR
TEL:033-152-9977 / 034-142-9977
101 ANTANANARIVO MADAGASCAR
LOT SIBD 35 TSARALALANA ANALAMANGA</t>
        </is>
      </c>
      <c r="V17" s="20" t="n"/>
    </row>
    <row r="18" ht="24" customHeight="1" s="229">
      <c r="B18" s="202" t="n"/>
      <c r="C18" s="230" t="n"/>
      <c r="D18" s="230" t="n"/>
      <c r="E18" s="249" t="n"/>
      <c r="F18" s="241" t="n"/>
      <c r="G18" s="240" t="n"/>
      <c r="H18" s="230" t="n"/>
      <c r="I18" s="230" t="n"/>
      <c r="J18" s="230" t="n"/>
      <c r="K18" s="230" t="n"/>
      <c r="L18" s="241" t="n"/>
      <c r="V18" s="20" t="n"/>
    </row>
    <row r="19" ht="29.25" customHeight="1" s="229">
      <c r="B19" s="22" t="inlineStr">
        <is>
          <t>11) MARKS AND NUMBERS OF PKGS</t>
        </is>
      </c>
      <c r="C19" s="22" t="n"/>
      <c r="D19" s="23" t="n"/>
      <c r="E19" s="23" t="inlineStr">
        <is>
          <t>12) Description of Goods</t>
        </is>
      </c>
      <c r="F19" s="24" t="n"/>
      <c r="G19" s="25" t="inlineStr">
        <is>
          <t>13) Quantity</t>
        </is>
      </c>
      <c r="H19" s="25" t="inlineStr">
        <is>
          <t>14) Unit price</t>
        </is>
      </c>
      <c r="I19" s="25" t="inlineStr">
        <is>
          <t>15) Amount</t>
        </is>
      </c>
      <c r="J19" s="25" t="inlineStr">
        <is>
          <t>16) WEIGHT</t>
        </is>
      </c>
      <c r="K19" s="25" t="inlineStr">
        <is>
          <t>17) CBM</t>
        </is>
      </c>
      <c r="L19" s="26" t="inlineStr">
        <is>
          <t>18) DISPLACE-
MENT(cc)</t>
        </is>
      </c>
    </row>
    <row r="20" ht="26.25" customFormat="1" customHeight="1" s="4" thickBot="1">
      <c r="A20" s="3" t="n"/>
      <c r="B20" s="27" t="inlineStr">
        <is>
          <t>NO.</t>
        </is>
      </c>
      <c r="C20" s="209" t="inlineStr">
        <is>
          <t>Commodity</t>
        </is>
      </c>
      <c r="D20" s="250" t="n"/>
      <c r="E20" s="209" t="inlineStr">
        <is>
          <t>Year</t>
        </is>
      </c>
      <c r="F20" s="209" t="inlineStr">
        <is>
          <t>Chassis No.</t>
        </is>
      </c>
      <c r="G20" s="251" t="inlineStr">
        <is>
          <t>Q'TY</t>
        </is>
      </c>
      <c r="H20" s="252" t="inlineStr">
        <is>
          <t>Unit Price</t>
        </is>
      </c>
      <c r="I20" s="253" t="inlineStr">
        <is>
          <t>AMOUNT</t>
        </is>
      </c>
      <c r="J20" s="32" t="inlineStr">
        <is>
          <t>Weight
(KG)</t>
        </is>
      </c>
      <c r="K20" s="209" t="inlineStr">
        <is>
          <t>CBM</t>
        </is>
      </c>
      <c r="L20" s="254" t="inlineStr">
        <is>
          <t>Shipping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7" customFormat="1" customHeight="1" s="255">
      <c r="A21" s="256" t="n"/>
      <c r="B21" s="257" t="n">
        <v>1</v>
      </c>
      <c r="C21" s="258" t="inlineStr">
        <is>
          <t>VOLKSWAGEN</t>
        </is>
      </c>
      <c r="D21" s="259" t="inlineStr">
        <is>
          <t>TIGUAN</t>
        </is>
      </c>
      <c r="E21" s="126" t="n">
        <v>2016</v>
      </c>
      <c r="F21" s="127" t="inlineStr">
        <is>
          <t>WVGZZZ5NZGW037130</t>
        </is>
      </c>
      <c r="G21" s="128" t="n">
        <v>1</v>
      </c>
      <c r="H21" s="260" t="n">
        <v>4830</v>
      </c>
      <c r="I21" s="261">
        <f>H21</f>
        <v/>
      </c>
      <c r="J21" s="262" t="n"/>
      <c r="K21" s="263" t="n"/>
      <c r="L21" s="264" t="n">
        <v>1770</v>
      </c>
      <c r="M21" s="265">
        <f>SUM(I21,L21)</f>
        <v/>
      </c>
      <c r="N21" s="188" t="n"/>
      <c r="P21" s="112" t="inlineStr">
        <is>
          <t>R0R0</t>
        </is>
      </c>
      <c r="Q21" s="113" t="n"/>
      <c r="R21" s="114" t="n"/>
      <c r="S21" s="4" t="n"/>
      <c r="T21" s="4" t="n"/>
      <c r="U21" s="1" t="n"/>
      <c r="V21" s="1" t="n"/>
      <c r="W21" s="1" t="n"/>
      <c r="X21" s="4" t="n"/>
      <c r="Y21" s="4" t="n"/>
      <c r="Z21" s="4" t="n"/>
    </row>
    <row r="22" ht="27" customFormat="1" customHeight="1" s="255">
      <c r="A22" s="256" t="n"/>
      <c r="B22" s="266" t="n">
        <v>2</v>
      </c>
      <c r="C22" s="258" t="inlineStr">
        <is>
          <t>BENZ</t>
        </is>
      </c>
      <c r="D22" s="259" t="inlineStr">
        <is>
          <t>C220</t>
        </is>
      </c>
      <c r="E22" s="134" t="n">
        <v>2016</v>
      </c>
      <c r="F22" s="127" t="inlineStr">
        <is>
          <t>WDDWF0FB6GF236490</t>
        </is>
      </c>
      <c r="G22" s="128" t="n">
        <v>1</v>
      </c>
      <c r="H22" s="267" t="n">
        <v>9330</v>
      </c>
      <c r="I22" s="261">
        <f>H22</f>
        <v/>
      </c>
      <c r="J22" s="268" t="n"/>
      <c r="K22" s="269" t="n"/>
      <c r="L22" s="270" t="n">
        <v>1670</v>
      </c>
      <c r="M22" s="265">
        <f>SUM(I22,L22)</f>
        <v/>
      </c>
      <c r="O22" s="6" t="n"/>
      <c r="P22" s="119" t="inlineStr">
        <is>
          <t>인천</t>
        </is>
      </c>
      <c r="Q22" s="271" t="inlineStr">
        <is>
          <t>인천항 3부두</t>
        </is>
      </c>
      <c r="R22" s="117" t="n"/>
      <c r="S22" s="272" t="inlineStr">
        <is>
          <t>인천항 3부두</t>
        </is>
      </c>
    </row>
    <row r="23" ht="27" customFormat="1" customHeight="1" s="255">
      <c r="A23" s="256" t="n"/>
      <c r="B23" s="273" t="n">
        <v>3</v>
      </c>
      <c r="C23" s="274" t="n"/>
      <c r="D23" s="275" t="n"/>
      <c r="E23" s="95" t="n"/>
      <c r="F23" s="94" t="n"/>
      <c r="G23" s="52" t="n"/>
      <c r="H23" s="276" t="n"/>
      <c r="I23" s="277">
        <f>H23</f>
        <v/>
      </c>
      <c r="J23" s="278" t="n"/>
      <c r="K23" s="279" t="n"/>
      <c r="L23" s="280" t="n"/>
      <c r="M23" s="265">
        <f>SUM(I23,L23)</f>
        <v/>
      </c>
      <c r="N23" s="4" t="n"/>
      <c r="P23" s="115" t="inlineStr">
        <is>
          <t>마산</t>
        </is>
      </c>
      <c r="Q23" s="271" t="inlineStr">
        <is>
          <t>마산 제 5부두</t>
        </is>
      </c>
      <c r="R23" s="117" t="inlineStr">
        <is>
          <t>05002102</t>
        </is>
      </c>
      <c r="S23" s="281" t="inlineStr">
        <is>
          <t>마산 제5부두 (05002102)</t>
        </is>
      </c>
    </row>
    <row r="24" ht="27" customFormat="1" customHeight="1" s="255">
      <c r="A24" s="256" t="n"/>
      <c r="B24" s="282" t="n">
        <v>4</v>
      </c>
      <c r="C24" s="274" t="n"/>
      <c r="D24" s="275" t="n"/>
      <c r="E24" s="96" t="n"/>
      <c r="F24" s="94" t="n"/>
      <c r="G24" s="52" t="n"/>
      <c r="H24" s="283" t="n"/>
      <c r="I24" s="277">
        <f>H24</f>
        <v/>
      </c>
      <c r="J24" s="284" t="n"/>
      <c r="K24" s="285" t="n"/>
      <c r="L24" s="286" t="n"/>
      <c r="M24" s="265">
        <f>SUM(I24,L24)</f>
        <v/>
      </c>
      <c r="N24" s="1" t="n"/>
      <c r="O24" s="4" t="n"/>
      <c r="P24" s="119" t="inlineStr">
        <is>
          <t>인천</t>
        </is>
      </c>
      <c r="Q24" s="271" t="inlineStr">
        <is>
          <t>인천내항 4부두</t>
        </is>
      </c>
      <c r="R24" s="117" t="inlineStr">
        <is>
          <t>0209999</t>
        </is>
      </c>
      <c r="S24" s="272" t="inlineStr">
        <is>
          <t>인천내항 4부두 (0209999)</t>
        </is>
      </c>
      <c r="U24" s="4" t="n"/>
      <c r="V24" s="1" t="n"/>
      <c r="W24" s="4" t="n"/>
    </row>
    <row r="25" ht="27" customFormat="1" customHeight="1" s="255">
      <c r="A25" s="256" t="n"/>
      <c r="B25" s="287" t="n">
        <v>5</v>
      </c>
      <c r="C25" s="274" t="n"/>
      <c r="D25" s="275" t="n"/>
      <c r="E25" s="97" t="n"/>
      <c r="F25" s="94" t="n"/>
      <c r="G25" s="52" t="n"/>
      <c r="H25" s="288" t="n"/>
      <c r="I25" s="277">
        <f>H25</f>
        <v/>
      </c>
      <c r="J25" s="289" t="n"/>
      <c r="K25" s="290" t="n"/>
      <c r="L25" s="291" t="n"/>
      <c r="M25" s="265">
        <f>SUM(I25,L25)</f>
        <v/>
      </c>
      <c r="N25" s="1" t="n"/>
      <c r="O25" s="6" t="n"/>
      <c r="P25" s="119" t="inlineStr">
        <is>
          <t>부산</t>
        </is>
      </c>
      <c r="Q25" s="271" t="inlineStr">
        <is>
          <t>세방감천</t>
        </is>
      </c>
      <c r="R25" s="117" t="inlineStr">
        <is>
          <t>030-77078</t>
        </is>
      </c>
      <c r="S25" s="272" t="inlineStr">
        <is>
          <t>세방감천LME (030-77078)</t>
        </is>
      </c>
    </row>
    <row r="26" ht="27" customFormat="1" customHeight="1" s="255">
      <c r="A26" s="256" t="n"/>
      <c r="B26" s="292" t="n">
        <v>6</v>
      </c>
      <c r="C26" s="274" t="n"/>
      <c r="D26" s="275" t="n"/>
      <c r="E26" s="98" t="n"/>
      <c r="F26" s="94" t="n"/>
      <c r="G26" s="67" t="n"/>
      <c r="H26" s="293" t="n"/>
      <c r="I26" s="277">
        <f>H26</f>
        <v/>
      </c>
      <c r="J26" s="294" t="n"/>
      <c r="K26" s="295" t="n"/>
      <c r="L26" s="296" t="n"/>
      <c r="M26" s="265">
        <f>SUM(I26,L26)</f>
        <v/>
      </c>
      <c r="N26" s="4" t="n"/>
      <c r="O26" s="4" t="n"/>
      <c r="P26" s="119" t="inlineStr">
        <is>
          <t>평택</t>
        </is>
      </c>
      <c r="Q26" s="297" t="inlineStr">
        <is>
          <t>평택항</t>
        </is>
      </c>
      <c r="R26" s="117" t="inlineStr">
        <is>
          <t>01699999</t>
        </is>
      </c>
      <c r="S26" s="272" t="inlineStr">
        <is>
          <t>평택항 (01699999)</t>
        </is>
      </c>
      <c r="V26" s="1" t="n"/>
      <c r="W26" s="4" t="n"/>
    </row>
    <row r="27" ht="27" customFormat="1" customHeight="1" s="255">
      <c r="A27" s="256" t="n"/>
      <c r="B27" s="298" t="n">
        <v>7</v>
      </c>
      <c r="C27" s="274" t="n"/>
      <c r="D27" s="275" t="n"/>
      <c r="E27" s="99" t="n"/>
      <c r="F27" s="94" t="n"/>
      <c r="G27" s="72" t="n"/>
      <c r="H27" s="299" t="n"/>
      <c r="I27" s="277">
        <f>H27</f>
        <v/>
      </c>
      <c r="J27" s="300" t="n"/>
      <c r="K27" s="301" t="n"/>
      <c r="L27" s="302" t="n"/>
      <c r="M27" s="265">
        <f>SUM(I27,L27)</f>
        <v/>
      </c>
      <c r="N27" s="1" t="n"/>
      <c r="O27" s="6" t="n"/>
      <c r="P27" s="119" t="inlineStr">
        <is>
          <t>평택 PIRT</t>
        </is>
      </c>
      <c r="Q27" s="297" t="inlineStr">
        <is>
          <t>평택국제자동차부두</t>
        </is>
      </c>
      <c r="R27" s="117" t="inlineStr">
        <is>
          <t>01610038</t>
        </is>
      </c>
      <c r="S27" s="272" t="inlineStr">
        <is>
          <t>평택국제자동차부두 PIRT (1610038)</t>
        </is>
      </c>
    </row>
    <row r="28" ht="27" customFormat="1" customHeight="1" s="255">
      <c r="A28" s="256" t="n"/>
      <c r="B28" s="303" t="n">
        <v>8</v>
      </c>
      <c r="C28" s="274" t="n"/>
      <c r="D28" s="275" t="n"/>
      <c r="E28" s="100" t="n"/>
      <c r="F28" s="94" t="n"/>
      <c r="G28" s="77" t="n"/>
      <c r="H28" s="304" t="n"/>
      <c r="I28" s="277">
        <f>H28</f>
        <v/>
      </c>
      <c r="J28" s="305" t="n"/>
      <c r="K28" s="306" t="n"/>
      <c r="L28" s="307" t="n"/>
      <c r="M28" s="265">
        <f>SUM(I28,L28)</f>
        <v/>
      </c>
      <c r="N28" s="1" t="n"/>
      <c r="O28" s="6" t="n"/>
      <c r="P28" s="119" t="inlineStr">
        <is>
          <t>평택 HPIT</t>
        </is>
      </c>
      <c r="Q28" s="297" t="inlineStr">
        <is>
          <t>평택국제터미널</t>
        </is>
      </c>
      <c r="R28" s="117" t="inlineStr">
        <is>
          <t>01606020</t>
        </is>
      </c>
      <c r="S28" s="272" t="inlineStr">
        <is>
          <t>평택국제터미널 HPIT (01606020)</t>
        </is>
      </c>
    </row>
    <row r="29" ht="27" customFormat="1" customHeight="1" s="255">
      <c r="A29" s="256" t="n"/>
      <c r="B29" s="308" t="n">
        <v>9</v>
      </c>
      <c r="C29" s="274" t="n"/>
      <c r="D29" s="275" t="n"/>
      <c r="E29" s="101" t="n"/>
      <c r="F29" s="94" t="n"/>
      <c r="G29" s="82" t="n"/>
      <c r="H29" s="309" t="n"/>
      <c r="I29" s="277">
        <f>H29</f>
        <v/>
      </c>
      <c r="J29" s="310" t="n"/>
      <c r="K29" s="311" t="n"/>
      <c r="L29" s="312" t="n"/>
      <c r="M29" s="265">
        <f>SUM(I29,L29)</f>
        <v/>
      </c>
      <c r="N29" s="1" t="n"/>
      <c r="O29" s="6" t="n"/>
      <c r="P29" s="119" t="inlineStr">
        <is>
          <t>동해</t>
        </is>
      </c>
      <c r="Q29" s="297" t="inlineStr">
        <is>
          <t>동해항</t>
        </is>
      </c>
      <c r="R29" s="117" t="inlineStr">
        <is>
          <t>1099999</t>
        </is>
      </c>
      <c r="S29" s="272" t="inlineStr">
        <is>
          <t>동해항 (1099999)</t>
        </is>
      </c>
    </row>
    <row r="30" ht="27" customFormat="1" customHeight="1" s="255" thickBot="1">
      <c r="A30" s="256" t="n"/>
      <c r="B30" s="313" t="n">
        <v>10</v>
      </c>
      <c r="C30" s="274" t="n"/>
      <c r="D30" s="275" t="n"/>
      <c r="E30" s="102" t="n"/>
      <c r="F30" s="94" t="n"/>
      <c r="G30" s="87" t="n"/>
      <c r="H30" s="314" t="n"/>
      <c r="I30" s="277">
        <f>H30</f>
        <v/>
      </c>
      <c r="J30" s="315" t="n"/>
      <c r="K30" s="316" t="n"/>
      <c r="L30" s="317" t="n"/>
      <c r="M30" s="265">
        <f>SUM(I30,L30)</f>
        <v/>
      </c>
      <c r="N30" s="1" t="n"/>
      <c r="O30" s="6" t="n"/>
      <c r="P30" s="121" t="inlineStr">
        <is>
          <t>부산</t>
        </is>
      </c>
      <c r="Q30" s="318" t="inlineStr">
        <is>
          <t>감천항 6부두</t>
        </is>
      </c>
      <c r="R30" s="123" t="inlineStr">
        <is>
          <t>03078003</t>
        </is>
      </c>
      <c r="S30" s="281" t="inlineStr">
        <is>
          <t>감천항 6부두 (030-78003)</t>
        </is>
      </c>
    </row>
    <row r="31">
      <c r="B31" s="35" t="n"/>
      <c r="C31" s="91" t="n"/>
      <c r="D31" s="197" t="inlineStr">
        <is>
          <t xml:space="preserve"> </t>
        </is>
      </c>
      <c r="E31" s="230" t="n"/>
      <c r="F31" s="196" t="inlineStr">
        <is>
          <t xml:space="preserve"> SUB TOTAL :</t>
        </is>
      </c>
      <c r="G31" s="230" t="n"/>
      <c r="H31" s="319" t="n"/>
      <c r="I31" s="320">
        <f>SUM(I21:I30)</f>
        <v/>
      </c>
      <c r="J31" s="321">
        <f>SUM(J21:J30)</f>
        <v/>
      </c>
      <c r="K31" s="322">
        <f>SUM(K21:K30)</f>
        <v/>
      </c>
      <c r="L31" s="323">
        <f>SUM(L21:L30)</f>
        <v/>
      </c>
      <c r="M31" s="4" t="n"/>
      <c r="O31" s="6" t="n"/>
      <c r="U31" s="255" t="n"/>
      <c r="V31" s="255" t="n"/>
      <c r="W31" s="255" t="n"/>
      <c r="X31" s="255" t="n"/>
      <c r="Y31" s="255" t="n"/>
      <c r="Z31" s="255" t="n"/>
    </row>
    <row r="32" ht="16.5" customHeight="1" s="229">
      <c r="B32" s="37" t="n"/>
      <c r="C32" s="324" t="inlineStr">
        <is>
          <t>CFR</t>
        </is>
      </c>
      <c r="D32" s="232" t="n"/>
      <c r="E32" s="233" t="n"/>
      <c r="F32" s="191" t="inlineStr">
        <is>
          <t>OCEAN FREIGHT</t>
        </is>
      </c>
      <c r="H32" s="325" t="inlineStr">
        <is>
          <t xml:space="preserve"> </t>
        </is>
      </c>
      <c r="I32" s="326">
        <f>SUM(L31)</f>
        <v/>
      </c>
      <c r="J32" s="327" t="n"/>
      <c r="K32" s="6" t="n"/>
      <c r="L32" s="328" t="n"/>
      <c r="M32" s="4" t="n"/>
      <c r="O32" s="6" t="n"/>
      <c r="P32" s="6" t="n"/>
      <c r="Q32" s="255" t="n"/>
      <c r="R32" s="255" t="n"/>
      <c r="S32" s="255" t="n"/>
      <c r="T32" s="255" t="n"/>
      <c r="U32" s="255" t="n"/>
      <c r="V32" s="255" t="n"/>
      <c r="W32" s="255" t="n"/>
      <c r="AA32" s="255" t="n"/>
      <c r="AB32" s="255" t="n"/>
      <c r="AC32" s="255" t="n"/>
      <c r="AD32" s="255" t="n"/>
      <c r="AE32" s="255" t="n"/>
      <c r="AF32" s="255" t="n"/>
      <c r="AG32" s="255" t="n"/>
    </row>
    <row r="33" ht="18" customHeight="1" s="229" thickBot="1">
      <c r="B33" s="37" t="n"/>
      <c r="C33" s="329" t="n"/>
      <c r="D33" s="329" t="n"/>
      <c r="E33" s="330" t="n"/>
      <c r="F33" s="191" t="inlineStr">
        <is>
          <t xml:space="preserve"> </t>
        </is>
      </c>
      <c r="H33" s="329" t="n"/>
      <c r="I33" s="326" t="inlineStr">
        <is>
          <t xml:space="preserve"> </t>
        </is>
      </c>
      <c r="J33" s="331" t="n"/>
      <c r="K33" s="6" t="n"/>
      <c r="L33" s="328" t="n"/>
      <c r="M33" s="4" t="n"/>
      <c r="O33" s="15" t="inlineStr">
        <is>
          <t>인천구항</t>
        </is>
      </c>
      <c r="P33" s="156" t="inlineStr">
        <is>
          <t>ICT ( 020-77-002 )</t>
        </is>
      </c>
      <c r="Q33" s="250" t="n"/>
      <c r="R33" s="250" t="n"/>
      <c r="S33" s="235" t="n"/>
      <c r="Y33" s="6" t="n"/>
      <c r="Z33" s="6" t="n"/>
      <c r="AA33" s="255" t="n"/>
      <c r="AB33" s="255" t="n"/>
      <c r="AC33" s="255" t="n"/>
      <c r="AD33" s="255" t="n"/>
      <c r="AE33" s="255" t="n"/>
      <c r="AF33" s="255" t="n"/>
      <c r="AG33" s="255" t="n"/>
    </row>
    <row r="34" ht="23.25" customHeight="1" s="229" thickTop="1">
      <c r="B34" s="42" t="n"/>
      <c r="C34" s="11" t="n"/>
      <c r="D34" s="154" t="inlineStr">
        <is>
          <t xml:space="preserve"> </t>
        </is>
      </c>
      <c r="E34" s="332" t="n"/>
      <c r="F34" s="154" t="inlineStr">
        <is>
          <t xml:space="preserve"> GRAND TOTAL :</t>
        </is>
      </c>
      <c r="G34" s="332" t="n"/>
      <c r="H34" s="12" t="n"/>
      <c r="I34" s="333">
        <f>SUM(I31:I33)</f>
        <v/>
      </c>
      <c r="J34" s="334" t="n"/>
      <c r="K34" s="11" t="n"/>
      <c r="L34" s="335" t="n"/>
      <c r="M34" s="4" t="n"/>
      <c r="O34" s="15" t="inlineStr">
        <is>
          <t>선광신항</t>
        </is>
      </c>
      <c r="P34" s="152" t="inlineStr">
        <is>
          <t xml:space="preserve"> SNCT  ( 020-12-014 )</t>
        </is>
      </c>
      <c r="Q34" s="250" t="n"/>
      <c r="R34" s="250" t="n"/>
      <c r="S34" s="235" t="n"/>
      <c r="Y34" s="6" t="n"/>
      <c r="Z34" s="6" t="n"/>
      <c r="AA34" s="255" t="n"/>
      <c r="AB34" s="255" t="n"/>
      <c r="AC34" s="255" t="n"/>
      <c r="AD34" s="255" t="n"/>
      <c r="AE34" s="255" t="n"/>
      <c r="AF34" s="255" t="n"/>
      <c r="AG34" s="255" t="n"/>
    </row>
    <row r="35">
      <c r="B35" s="44" t="n"/>
      <c r="C35" s="153" t="n"/>
      <c r="D35" s="153" t="n"/>
      <c r="E35" s="153" t="n"/>
      <c r="F35" s="153" t="inlineStr">
        <is>
          <t xml:space="preserve"> </t>
        </is>
      </c>
      <c r="G35" s="153" t="inlineStr">
        <is>
          <t xml:space="preserve">Signed By    </t>
        </is>
      </c>
      <c r="J35" s="153" t="n"/>
      <c r="K35" s="6" t="n"/>
      <c r="L35" s="46" t="n"/>
      <c r="M35" s="4" t="n"/>
      <c r="O35" s="15" t="inlineStr">
        <is>
          <t>한진인천</t>
        </is>
      </c>
      <c r="P35" s="152" t="inlineStr">
        <is>
          <t>HJIT  ( 020-12-019 )</t>
        </is>
      </c>
      <c r="Q35" s="250" t="n"/>
      <c r="R35" s="250" t="n"/>
      <c r="S35" s="235" t="n"/>
      <c r="Y35" s="6" t="n"/>
      <c r="Z35" s="6" t="n"/>
      <c r="AA35" s="255" t="n"/>
      <c r="AB35" s="255" t="n"/>
      <c r="AC35" s="255" t="n"/>
      <c r="AD35" s="255" t="n"/>
      <c r="AE35" s="255" t="n"/>
      <c r="AF35" s="255" t="n"/>
      <c r="AG35" s="255" t="n"/>
    </row>
    <row r="36">
      <c r="B36" s="47" t="n"/>
      <c r="L36" s="48" t="n"/>
      <c r="O36" s="15" t="inlineStr">
        <is>
          <t>평택</t>
        </is>
      </c>
      <c r="P36" s="152" t="inlineStr">
        <is>
          <t>PCTC  ( 016-12-033 )</t>
        </is>
      </c>
      <c r="Q36" s="250" t="n"/>
      <c r="R36" s="250" t="n"/>
      <c r="S36" s="235" t="n"/>
      <c r="Y36" s="6" t="n"/>
      <c r="Z36" s="6" t="n"/>
      <c r="AF36" s="255" t="n"/>
    </row>
    <row r="37" ht="27" customHeight="1" s="229">
      <c r="B37" s="47" t="n"/>
      <c r="L37" s="48" t="n"/>
      <c r="O37" s="16" t="inlineStr">
        <is>
          <t>평택동방아이포트</t>
        </is>
      </c>
      <c r="P37" s="152" t="inlineStr">
        <is>
          <t>PNCT  ( 016-12-002 )</t>
        </is>
      </c>
      <c r="Q37" s="250" t="n"/>
      <c r="R37" s="250" t="n"/>
      <c r="S37" s="235" t="n"/>
      <c r="Y37" s="6" t="n"/>
    </row>
    <row r="38">
      <c r="B38" s="47" t="n"/>
      <c r="L38" s="48" t="n"/>
      <c r="N38" s="1" t="inlineStr">
        <is>
          <t xml:space="preserve"> DIESEL </t>
        </is>
      </c>
      <c r="V38" s="255" t="n"/>
    </row>
    <row r="39">
      <c r="B39" s="47" t="n"/>
      <c r="L39" s="48" t="n"/>
      <c r="N39" s="1" t="inlineStr">
        <is>
          <t>GASOLIN</t>
        </is>
      </c>
    </row>
    <row r="40">
      <c r="B40" s="47" t="n"/>
      <c r="L40" s="48" t="n"/>
      <c r="N40" s="1" t="inlineStr">
        <is>
          <t>LPG</t>
        </is>
      </c>
    </row>
    <row r="41">
      <c r="B41" s="49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1" t="n"/>
    </row>
  </sheetData>
  <mergeCells count="71">
    <mergeCell ref="C32:E33"/>
    <mergeCell ref="P4:Q4"/>
    <mergeCell ref="B13:F14"/>
    <mergeCell ref="P37:S37"/>
    <mergeCell ref="N11:O11"/>
    <mergeCell ref="G10:L10"/>
    <mergeCell ref="N7:O7"/>
    <mergeCell ref="D34:E34"/>
    <mergeCell ref="G15:H16"/>
    <mergeCell ref="F34:G34"/>
    <mergeCell ref="P10:Q10"/>
    <mergeCell ref="B17:D17"/>
    <mergeCell ref="E17:F17"/>
    <mergeCell ref="D31:E31"/>
    <mergeCell ref="J11:L11"/>
    <mergeCell ref="P33:S33"/>
    <mergeCell ref="P9:Q9"/>
    <mergeCell ref="C20:D20"/>
    <mergeCell ref="B12:F12"/>
    <mergeCell ref="N3:O3"/>
    <mergeCell ref="N21:O21"/>
    <mergeCell ref="G5:L5"/>
    <mergeCell ref="B2:F2"/>
    <mergeCell ref="N12:O12"/>
    <mergeCell ref="B3:F7"/>
    <mergeCell ref="P6:Q6"/>
    <mergeCell ref="N2:O2"/>
    <mergeCell ref="P8:Q8"/>
    <mergeCell ref="F33:G33"/>
    <mergeCell ref="P2:Q2"/>
    <mergeCell ref="P35:S35"/>
    <mergeCell ref="G35:I35"/>
    <mergeCell ref="P11:Q11"/>
    <mergeCell ref="J3:L4"/>
    <mergeCell ref="F32:G32"/>
    <mergeCell ref="B8:F8"/>
    <mergeCell ref="B15:D15"/>
    <mergeCell ref="I17:L18"/>
    <mergeCell ref="N5:O5"/>
    <mergeCell ref="N8:O8"/>
    <mergeCell ref="B1:L1"/>
    <mergeCell ref="E15:F15"/>
    <mergeCell ref="P7:Q7"/>
    <mergeCell ref="H32:H33"/>
    <mergeCell ref="G9:L9"/>
    <mergeCell ref="B9:F11"/>
    <mergeCell ref="F31:G31"/>
    <mergeCell ref="P34:S34"/>
    <mergeCell ref="N10:O10"/>
    <mergeCell ref="P13:Q13"/>
    <mergeCell ref="G3:I4"/>
    <mergeCell ref="N17:R19"/>
    <mergeCell ref="N13:O13"/>
    <mergeCell ref="B16:D16"/>
    <mergeCell ref="G17:H18"/>
    <mergeCell ref="G6:L7"/>
    <mergeCell ref="G11:I11"/>
    <mergeCell ref="N9:O9"/>
    <mergeCell ref="P3:Q3"/>
    <mergeCell ref="P36:S36"/>
    <mergeCell ref="G2:L2"/>
    <mergeCell ref="E16:F16"/>
    <mergeCell ref="P12:Q12"/>
    <mergeCell ref="N6:O6"/>
    <mergeCell ref="B18:D18"/>
    <mergeCell ref="G12:L14"/>
    <mergeCell ref="G8:L8"/>
    <mergeCell ref="P5:Q5"/>
    <mergeCell ref="I15:L16"/>
    <mergeCell ref="E18:F18"/>
    <mergeCell ref="N4:O4"/>
  </mergeCells>
  <dataValidations count="4">
    <dataValidation sqref="B16:D16" showDropDown="0" showInputMessage="1" showErrorMessage="1" allowBlank="1" type="list">
      <formula1>$T$2:$T$8</formula1>
    </dataValidation>
    <dataValidation sqref="E16:F16" showDropDown="0" showInputMessage="1" showErrorMessage="1" allowBlank="1" type="list">
      <formula1>$V$2:$V$19</formula1>
    </dataValidation>
    <dataValidation sqref="C32" showDropDown="0" showInputMessage="1" showErrorMessage="1" allowBlank="1" type="list">
      <formula1>"FOB,CFR"</formula1>
    </dataValidation>
    <dataValidation sqref="I15:L16" showDropDown="0" showInputMessage="1" showErrorMessage="1" allowBlank="1" type="list">
      <formula1>$S$22:$S$31</formula1>
    </dataValidation>
  </dataValidations>
  <printOptions horizontalCentered="1" verticalCentered="1"/>
  <pageMargins left="0.1968503937007874" right="0.1968503937007874" top="0.3937007874015748" bottom="0.1968503937007874" header="0.1968503937007874" footer="0"/>
  <pageSetup orientation="portrait" paperSize="9" scale="8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Cool</dc:creator>
  <dcterms:created xmlns:dcterms="http://purl.org/dc/terms/" xmlns:xsi="http://www.w3.org/2001/XMLSchema-instance" xsi:type="dcterms:W3CDTF">2023-01-19T00:19:52Z</dcterms:created>
  <dcterms:modified xmlns:dcterms="http://purl.org/dc/terms/" xmlns:xsi="http://www.w3.org/2001/XMLSchema-instance" xsi:type="dcterms:W3CDTF">2026-05-24T05:10:10Z</dcterms:modified>
  <cp:lastModifiedBy>choi young suk</cp:lastModifiedBy>
  <cp:lastPrinted>2024-06-10T15:57:12Z</cp:lastPrinted>
</cp:coreProperties>
</file>