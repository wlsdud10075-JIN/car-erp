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<sst xmlns="http://schemas.openxmlformats.org/spreadsheetml/2006/main" uniqueCount="42">
  <si>
    <r>
      <t xml:space="preserve">PROFORM CONTRACT</t>
    </r>
  </si>
  <si>
    <r>
      <t xml:space="preserve">HEYMAN LTD., #513, THE PARK 365, 50 Seonyudong1-ro, Yeongdeungpo-gu, Seoul, Korea TEL:82-505-355-9977 FAX:82-505-366-9977 EMAIL : heyman99888@gmail.com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</si>
  <si>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</si>
  <si>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</si>
  <si>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</si>
  <si>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</si>
  <si>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</si>
  <si>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</si>
  <si>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</si>
  <si>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</si>
  <si>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</si>
  <si>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</si>
  <si>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</si>
  <si>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</si>
  <si>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</si>
  <si>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</si>
  <si>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</si>
  <si>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</si>
  <si>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</si>
  <si>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</si>
  <si>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</si>
  <si>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</si>
  <si>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</si>
  <si>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t>#513, THE PARK 365, 50 Seonyudong1-ro, Yeongdeungpo-gu, Seoul, Korea</t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</si>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</sst>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</fills>
  <borders count="33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7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2" numFmtId="0" fillId="8" borderId="5" applyFont="1" applyNumberFormat="0" applyFill="1" applyBorder="1" applyAlignment="1">
      <alignment horizontal="center" vertical="center" textRotation="0" wrapText="true" shrinkToFit="false"/>
    </xf>
    <xf xfId="0" fontId="0" numFmtId="0" fillId="8" borderId="5" applyFont="0" applyNumberFormat="0" applyFill="1" applyBorder="1" applyAlignment="1">
      <alignment horizontal="center" vertical="center" textRotation="0" wrapText="false" shrinkToFit="false"/>
    </xf>
    <xf xfId="0" fontId="5" numFmtId="0" fillId="9" borderId="6" applyFont="1" applyNumberFormat="0" applyFill="1" applyBorder="1" applyAlignment="1">
      <alignment horizontal="left" vertical="center" textRotation="0" wrapText="false" shrinkToFit="false"/>
    </xf>
    <xf xfId="0" fontId="5" numFmtId="0" fillId="9" borderId="5" applyFont="1" applyNumberFormat="0" applyFill="1" applyBorder="1" applyAlignment="1">
      <alignment horizontal="left" vertical="center" textRotation="0" wrapText="false" shrinkToFit="false"/>
    </xf>
    <xf xfId="0" fontId="1" numFmtId="0" fillId="10" borderId="18" applyFont="1" applyNumberFormat="0" applyFill="1" applyBorder="1" applyAlignment="1">
      <alignment vertical="bottom" textRotation="0" wrapText="false" shrinkToFit="false"/>
    </xf>
    <xf xfId="0" fontId="1" numFmtId="0" fillId="10" borderId="8" applyFont="1" applyNumberFormat="0" applyFill="1" applyBorder="1" applyAlignment="1">
      <alignment vertical="bottom" textRotation="0" wrapText="false" shrinkToFit="false"/>
    </xf>
    <xf xfId="0" fontId="10" numFmtId="0" fillId="2" borderId="15" applyFont="1" applyNumberFormat="0" applyFill="1" applyBorder="1" applyAlignment="1">
      <alignment horizontal="center" vertical="center" textRotation="0" wrapText="false" shrinkToFit="false"/>
    </xf>
    <xf xfId="0" fontId="11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19" applyFont="1" applyNumberFormat="1" applyFill="1" applyBorder="1" applyAlignment="1">
      <alignment horizontal="center" vertical="center" textRotation="0" wrapText="true" shrinkToFit="false"/>
    </xf>
    <xf xfId="0" fontId="1" numFmtId="49" fillId="8" borderId="20" applyFont="1" applyNumberFormat="1" applyFill="1" applyBorder="1" applyAlignment="1">
      <alignment horizontal="center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8" borderId="20" applyFont="1" applyNumberFormat="0" applyFill="1" applyBorder="1" applyAlignment="1">
      <alignment horizontal="center" vertical="center" textRotation="0" wrapText="true" shrinkToFit="false"/>
    </xf>
    <xf xfId="0" fontId="6" numFmtId="0" fillId="4" borderId="20" applyFont="1" applyNumberFormat="0" applyFill="1" applyBorder="1" applyAlignment="1">
      <alignment horizontal="center" vertical="center" textRotation="0" wrapText="true" shrinkToFit="false"/>
    </xf>
    <xf xfId="0" fontId="2" numFmtId="49" fillId="4" borderId="20" applyFont="1" applyNumberFormat="1" applyFill="1" applyBorder="1" applyAlignment="1">
      <alignment horizontal="center" vertical="center" textRotation="0" wrapText="true" shrinkToFit="false"/>
    </xf>
    <xf xfId="0" fontId="12" numFmtId="165" fillId="5" borderId="21" applyFont="1" applyNumberFormat="1" applyFill="1" applyBorder="1" applyAlignment="1">
      <alignment horizontal="right" vertical="center" textRotation="0" wrapText="false" shrinkToFit="false"/>
    </xf>
    <xf xfId="0" fontId="2" numFmtId="49" fillId="5" borderId="20" applyFont="1" applyNumberFormat="1" applyFill="1" applyBorder="1" applyAlignment="1">
      <alignment horizontal="center"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13" numFmtId="0" fillId="3" borderId="9" applyFont="1" applyNumberFormat="0" applyFill="1" applyBorder="1" applyAlignment="1">
      <alignment horizontal="center" vertical="bottom" textRotation="0" wrapText="false" shrinkToFit="false"/>
    </xf>
    <xf xfId="0" fontId="14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5" numFmtId="0" fillId="9" borderId="12" applyFont="1" applyNumberFormat="0" applyFill="1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4" numFmtId="0" fillId="0" borderId="12" applyFont="1" applyNumberFormat="0" applyFill="0" applyBorder="1" applyAlignment="1">
      <alignment horizontal="left" vertical="center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8" borderId="5" applyFont="1" applyNumberFormat="1" applyFill="1" applyBorder="1" applyAlignment="1">
      <alignment vertical="center" textRotation="0" wrapText="true" shrinkToFit="false"/>
    </xf>
    <xf xfId="0" fontId="2" numFmtId="167" fillId="8" borderId="22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2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ae2d5523dd291c3488c17ae8f473a5a.jpeg"/><Relationship Id="rId2" Type="http://schemas.openxmlformats.org/officeDocument/2006/relationships/image" Target="../media/56392e7f64d8c2c7eb47e8707dd64dd1.jpeg"/><Relationship Id="rId3" Type="http://schemas.openxmlformats.org/officeDocument/2006/relationships/image" Target="../media/5d4e2802dd59cbd75db65ba54df050a6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12" sqref="F12"/>
    </sheetView>
  </sheetViews>
  <sheetFormatPr defaultRowHeight="14.4" outlineLevelRow="0" outlineLevelCol="0"/>
  <cols>
    <col min="1" max="1" width="8.25" customWidth="true" style="41"/>
    <col min="2" max="2" width="14.875" customWidth="true" style="41"/>
    <col min="3" max="3" width="18.75" customWidth="true" style="41"/>
    <col min="4" max="4" width="7.625" customWidth="true" style="41"/>
    <col min="5" max="5" width="26.75" customWidth="true" style="41"/>
    <col min="6" max="6" width="18.375" customWidth="true" style="41"/>
    <col min="7" max="7" width="16.625" customWidth="true" style="41"/>
    <col min="8" max="8" width="4.375" customWidth="true" style="41"/>
    <col min="9" max="9" width="9" customWidth="true" style="41"/>
  </cols>
  <sheetData>
    <row r="1" spans="1:10" customHeight="1" ht="50.1" s="52" customFormat="1">
      <c r="A1" s="34"/>
      <c r="B1" s="53"/>
      <c r="C1" s="35"/>
      <c r="D1" s="13"/>
      <c r="E1" s="36" t="inlineStr">
        <is>
          <r>
            <t xml:space="preserve">PROFORM CONTRACT</t>
          </r>
        </is>
      </c>
      <c r="F1" s="53"/>
      <c r="G1" s="54"/>
      <c r="H1" s="12"/>
      <c r="J1" s="52"/>
    </row>
    <row r="2" spans="1:10">
      <c r="A2" s="37" t="inlineStr">
        <is>
          <r>
            <t xml:space="preserve">HEYMAN LTD., #513, THE PARK 365, 50 Seonyudong1-ro, Yeongdeungpo-gu, Seoul, Korea TEL:82-505-355-9977 FAX:82-505-366-9977 EMAIL : heyman99888@gmail.com</t>
          </r>
        </is>
      </c>
      <c r="G2" s="4"/>
      <c r="J2"/>
    </row>
    <row r="3" spans="1:10" customHeight="1" ht="24.95" s="52" customFormat="1">
      <c r="A3" s="55"/>
      <c r="E3" s="9" t="inlineStr">
        <is>
          <r>
            <t xml:space="preserve">Date</t>
          </r>
        </is>
      </c>
      <c r="F3" s="38" t="str">
        <f>TODAY()</f>
        <v>0</v>
      </c>
      <c r="G3" s="56"/>
      <c r="J3" s="52"/>
    </row>
    <row r="4" spans="1:10" customHeight="1" ht="24.95" s="52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39" t="inlineStr">
        <is>
          <r>
            <t xml:space="preserve">TRHU6652495</t>
          </r>
        </is>
      </c>
      <c r="G4" s="57"/>
      <c r="J4" s="52"/>
    </row>
    <row r="5" spans="1:10" customHeight="1" ht="24.95" s="52" customFormat="1">
      <c r="A5" s="40"/>
      <c r="E5" s="9" t="inlineStr">
        <is>
          <r>
            <t xml:space="preserve">Name</t>
          </r>
        </is>
      </c>
      <c r="F5" s="42" t="inlineStr">
        <is>
          <r>
            <t xml:space="preserve">IMP. EXP. HANNA LTDA</t>
          </r>
        </is>
      </c>
      <c r="G5" s="57"/>
      <c r="J5" s="52"/>
    </row>
    <row r="6" spans="1:10" customHeight="1" ht="24.95" s="52" customFormat="1">
      <c r="A6" s="40"/>
      <c r="E6" s="9" t="inlineStr">
        <is>
          <r>
            <t xml:space="preserve">Adress</t>
          </r>
        </is>
      </c>
      <c r="F6" s="43"/>
      <c r="G6" s="57"/>
      <c r="J6" s="52"/>
    </row>
    <row r="7" spans="1:10" customHeight="1" ht="24.95" s="52" customFormat="1">
      <c r="A7" s="40"/>
      <c r="E7" s="9" t="inlineStr">
        <is>
          <r>
            <t xml:space="preserve">Phone</t>
          </r>
        </is>
      </c>
      <c r="F7" s="44"/>
      <c r="G7" s="57"/>
      <c r="J7" s="52"/>
    </row>
    <row r="8" spans="1:10" customHeight="1" ht="24.95" s="52" customFormat="1">
      <c r="A8" s="40"/>
      <c r="E8" s="9"/>
      <c r="F8" s="44"/>
      <c r="G8" s="57"/>
      <c r="J8" s="52"/>
    </row>
    <row r="9" spans="1:10" customHeight="1" ht="20.1" s="52" customFormat="1">
      <c r="A9" s="40"/>
      <c r="D9" s="7"/>
      <c r="E9" s="9" t="inlineStr">
        <is>
          <r>
            <t xml:space="preserve">Dollar Rate</t>
          </r>
        </is>
      </c>
      <c r="F9" s="46" t="inlineStr">
        <is>
          <r>
            <t xml:space="preserve"> </t>
          </r>
        </is>
      </c>
      <c r="G9" s="57"/>
      <c r="J9" s="52"/>
    </row>
    <row r="10" spans="1:10" customHeight="1" ht="24.95" s="52" customFormat="1">
      <c r="A10" s="48" t="inlineStr">
        <is>
          <r>
            <t xml:space="preserve">BANK ACCOUNT INFORMATION</t>
          </r>
        </is>
      </c>
      <c r="B10" s="58"/>
      <c r="C10" s="58"/>
      <c r="D10" s="58"/>
      <c r="E10" s="58"/>
      <c r="F10" s="58"/>
      <c r="G10" s="59"/>
      <c r="J10" s="52"/>
    </row>
    <row r="11" spans="1:10" customHeight="1" ht="20.1" s="52" customFormat="1">
      <c r="A11" s="32" t="inlineStr">
        <is>
          <r>
            <t xml:space="preserve">Beneficiary</t>
          </r>
        </is>
      </c>
      <c r="B11" s="60"/>
      <c r="C11" s="49" t="s">
        <v>13</v>
      </c>
      <c r="D11" s="60"/>
      <c r="E11" s="33" t="inlineStr">
        <is>
          <r>
            <t xml:space="preserve">Bank Name</t>
          </r>
        </is>
      </c>
      <c r="F11" s="49" t="inlineStr">
        <is>
          <r>
            <t xml:space="preserve">SHINHAN BANK</t>
          </r>
        </is>
      </c>
      <c r="G11" s="60"/>
      <c r="J11" s="52"/>
    </row>
    <row r="12" spans="1:10" customHeight="1" ht="20.1" s="52" customFormat="1">
      <c r="A12" s="32" t="inlineStr">
        <is>
          <r>
            <t xml:space="preserve">Swift Cose</t>
          </r>
        </is>
      </c>
      <c r="B12" s="60"/>
      <c r="C12" s="49" t="inlineStr">
        <is>
          <r>
            <t xml:space="preserve">SHBKKRSE</t>
          </r>
        </is>
      </c>
      <c r="D12" s="60"/>
      <c r="E12" s="33" t="inlineStr">
        <is>
          <r>
            <t xml:space="preserve">Bank Adress</t>
          </r>
        </is>
      </c>
      <c r="F12" s="61" t="inlineStr">
        <is>
          <r>
            <t xml:space="preserve">20,Sejong-Daero9-Gil,Jung-Gu Seoul South Korea</t>
          </r>
        </is>
      </c>
      <c r="G12" s="62"/>
      <c r="J12" s="52"/>
    </row>
    <row r="13" spans="1:10" customHeight="1" ht="20.1" s="52" customFormat="1">
      <c r="A13" s="50" t="inlineStr">
        <is>
          <r>
            <t xml:space="preserve">Bank Account Number</t>
          </r>
        </is>
      </c>
      <c r="B13" s="63"/>
      <c r="C13" s="64" t="inlineStr">
        <is>
          <r>
            <t xml:space="preserve">180-008-400167</t>
          </r>
        </is>
      </c>
      <c r="D13" s="63"/>
      <c r="E13" s="51" t="inlineStr">
        <is>
          <r>
            <t xml:space="preserve">Beneficiary Adress</t>
          </r>
        </is>
      </c>
      <c r="F13" s="61" t="s">
        <v>23</v>
      </c>
      <c r="G13" s="61"/>
      <c r="J13" s="52"/>
    </row>
    <row r="14" spans="1:10" customHeight="1" ht="13.5" s="52" customFormat="1">
      <c r="A14" s="8"/>
      <c r="D14" s="7"/>
      <c r="E14" s="65"/>
      <c r="G14" s="21"/>
      <c r="J14" s="52"/>
    </row>
    <row r="15" spans="1:10" customHeight="1" ht="24.95" s="52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2"/>
    </row>
    <row r="16" spans="1:10" customHeight="1" ht="20.1" s="52" customFormat="1">
      <c r="A16" s="6" t="str">
        <f>RIGHT(E16,6)</f>
        <v>0</v>
      </c>
      <c r="B16" s="30" t="inlineStr">
        <is>
          <r>
            <t xml:space="preserve">HYUNDAI</t>
          </r>
        </is>
      </c>
      <c r="C16" s="30" t="inlineStr">
        <is>
          <r>
            <t xml:space="preserve">ACCENT</t>
          </r>
        </is>
      </c>
      <c r="D16" s="31">
        <v>2016</v>
      </c>
      <c r="E16" s="31" t="inlineStr">
        <is>
          <r>
            <t xml:space="preserve">KMHCT51UGGU281238</t>
          </r>
        </is>
      </c>
      <c r="F16" s="66">
        <v>2300</v>
      </c>
      <c r="G16" s="67">
        <v>1075</v>
      </c>
      <c r="I16" s="28" t="str">
        <f>F16+G16</f>
        <v>0</v>
      </c>
      <c r="J16" s="52"/>
    </row>
    <row r="17" spans="1:10" customHeight="1" ht="20.1" s="52" customFormat="1">
      <c r="A17" s="6" t="str">
        <f>RIGHT(E17,6)</f>
        <v>0</v>
      </c>
      <c r="B17" s="30" t="inlineStr">
        <is>
          <r>
            <t xml:space="preserve">HYUNDAI</t>
          </r>
        </is>
      </c>
      <c r="C17" s="30" t="inlineStr">
        <is>
          <r>
            <t xml:space="preserve">GRAND STAREX</t>
          </r>
        </is>
      </c>
      <c r="D17" s="31">
        <v>2017</v>
      </c>
      <c r="E17" s="31" t="inlineStr">
        <is>
          <r>
            <t xml:space="preserve">KMJWA37KBHU886217</t>
          </r>
        </is>
      </c>
      <c r="F17" s="66">
        <v>6400</v>
      </c>
      <c r="G17" s="67">
        <v>1075</v>
      </c>
      <c r="I17" s="28" t="str">
        <f>F17+G17</f>
        <v>0</v>
      </c>
      <c r="J17" s="52"/>
    </row>
    <row r="18" spans="1:10" customHeight="1" ht="20.1" s="52" customFormat="1">
      <c r="A18" s="6" t="str">
        <f>RIGHT(E18,6)</f>
        <v>0</v>
      </c>
      <c r="B18" s="30" t="inlineStr">
        <is>
          <r>
            <t xml:space="preserve">HYUNDAI</t>
          </r>
        </is>
      </c>
      <c r="C18" s="30" t="inlineStr">
        <is>
          <r>
            <t xml:space="preserve">GRAND STAREX</t>
          </r>
        </is>
      </c>
      <c r="D18" s="31">
        <v>2015</v>
      </c>
      <c r="E18" s="31" t="inlineStr">
        <is>
          <r>
            <t xml:space="preserve">KMJWA37KAFU680072</t>
          </r>
        </is>
      </c>
      <c r="F18" s="66">
        <v>5100</v>
      </c>
      <c r="G18" s="67">
        <v>1075</v>
      </c>
      <c r="I18" s="28" t="str">
        <f>F18+G18</f>
        <v>0</v>
      </c>
      <c r="J18" s="52"/>
    </row>
    <row r="19" spans="1:10" customHeight="1" ht="20.1" s="52" customFormat="1">
      <c r="A19" s="6" t="str">
        <f>RIGHT(E19,6)</f>
        <v>0</v>
      </c>
      <c r="B19" s="30" t="inlineStr">
        <is>
          <r>
            <t xml:space="preserve">HYUNDAI</t>
          </r>
        </is>
      </c>
      <c r="C19" s="30" t="inlineStr">
        <is>
          <r>
            <t xml:space="preserve">ACCENT</t>
          </r>
        </is>
      </c>
      <c r="D19" s="31">
        <v>2014</v>
      </c>
      <c r="E19" s="31" t="inlineStr">
        <is>
          <r>
            <t xml:space="preserve">KMHCS41UBEU687864</t>
          </r>
        </is>
      </c>
      <c r="F19" s="66">
        <v>1600</v>
      </c>
      <c r="G19" s="67">
        <v>1075</v>
      </c>
      <c r="I19" s="28" t="str">
        <f>F19+G19</f>
        <v>0</v>
      </c>
      <c r="J19" s="52"/>
    </row>
    <row r="20" spans="1:10" customHeight="1" ht="20.1" s="52" customFormat="1">
      <c r="A20" s="6" t="str">
        <f>RIGHT(E20,6)</f>
        <v>0</v>
      </c>
      <c r="B20" s="5"/>
      <c r="C20" s="5"/>
      <c r="D20" s="5"/>
      <c r="E20" s="5"/>
      <c r="F20" s="68"/>
      <c r="G20" s="69"/>
      <c r="I20" s="28" t="str">
        <f>F20+G20</f>
        <v>0</v>
      </c>
      <c r="J20" s="52"/>
    </row>
    <row r="21" spans="1:10" customHeight="1" ht="20.1" s="52" customFormat="1">
      <c r="A21" s="6" t="str">
        <f>RIGHT(E21,6)</f>
        <v>0</v>
      </c>
      <c r="B21" s="5"/>
      <c r="C21" s="5"/>
      <c r="D21" s="5"/>
      <c r="E21" s="5"/>
      <c r="F21" s="68"/>
      <c r="G21" s="69"/>
      <c r="I21" s="28" t="str">
        <f>F21+G21</f>
        <v>0</v>
      </c>
      <c r="J21" s="52"/>
    </row>
    <row r="22" spans="1:10" customHeight="1" ht="20.1" s="52" customFormat="1">
      <c r="A22" s="6" t="str">
        <f>RIGHT(E22,6)</f>
        <v>0</v>
      </c>
      <c r="B22" s="5"/>
      <c r="C22" s="5"/>
      <c r="D22" s="5"/>
      <c r="E22" s="5"/>
      <c r="F22" s="68"/>
      <c r="G22" s="69"/>
      <c r="I22" s="28" t="str">
        <f>F22+G22</f>
        <v>0</v>
      </c>
      <c r="J22" s="52"/>
    </row>
    <row r="23" spans="1:10" customHeight="1" ht="20.1" s="52" customFormat="1">
      <c r="A23" s="6" t="str">
        <f>RIGHT(E23,6)</f>
        <v>0</v>
      </c>
      <c r="B23" s="5"/>
      <c r="C23" s="5"/>
      <c r="D23" s="5"/>
      <c r="E23" s="5"/>
      <c r="F23" s="68"/>
      <c r="G23" s="69"/>
      <c r="I23" s="28" t="str">
        <f>F23+G23</f>
        <v>0</v>
      </c>
      <c r="J23" s="52"/>
    </row>
    <row r="24" spans="1:10" customHeight="1" ht="20.1" s="52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68"/>
      <c r="G24" s="69"/>
      <c r="I24" s="28" t="str">
        <f>F24+G24</f>
        <v>0</v>
      </c>
      <c r="J24" s="52"/>
    </row>
    <row r="25" spans="1:10" customHeight="1" ht="20.1" s="52" customFormat="1">
      <c r="A25" s="6" t="str">
        <f>RIGHT(E25,6)</f>
        <v>0</v>
      </c>
      <c r="B25" s="5"/>
      <c r="C25" s="5"/>
      <c r="D25" s="5"/>
      <c r="E25" s="5"/>
      <c r="F25" s="68"/>
      <c r="G25" s="69"/>
      <c r="I25" s="28" t="str">
        <f>F25+G25</f>
        <v>0</v>
      </c>
      <c r="J25" s="52"/>
    </row>
    <row r="26" spans="1:10" customHeight="1" ht="20.1" s="52" customFormat="1">
      <c r="A26" s="6" t="str">
        <f>RIGHT(E26,6)</f>
        <v>0</v>
      </c>
      <c r="B26" s="17"/>
      <c r="C26" s="17"/>
      <c r="D26" s="17"/>
      <c r="E26" s="17"/>
      <c r="F26" s="70"/>
      <c r="G26" s="71"/>
      <c r="H26" s="52"/>
      <c r="I26" s="28" t="str">
        <f>F26+G26</f>
        <v>0</v>
      </c>
      <c r="J26" s="52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0"/>
      <c r="G27" s="71"/>
      <c r="H27" s="52"/>
      <c r="I27" s="28" t="str">
        <f>F27+G27</f>
        <v>0</v>
      </c>
      <c r="J27" s="52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0"/>
      <c r="G28" s="71"/>
      <c r="H28" s="52"/>
      <c r="I28" s="28" t="str">
        <f>F28+G28</f>
        <v>0</v>
      </c>
      <c r="J28" s="52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0"/>
      <c r="G29" s="71"/>
      <c r="H29" s="52"/>
      <c r="I29" s="28" t="str">
        <f>F29+G29</f>
        <v>0</v>
      </c>
      <c r="J29" s="52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0"/>
      <c r="G30" s="71"/>
      <c r="H30" s="52"/>
      <c r="I30" s="28" t="str">
        <f>F30+G30</f>
        <v>0</v>
      </c>
      <c r="J30" s="52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0"/>
      <c r="G31" s="71"/>
      <c r="H31" s="52"/>
      <c r="I31" s="28" t="str">
        <f>F31+G31</f>
        <v>0</v>
      </c>
      <c r="J31" s="52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0"/>
      <c r="G32" s="71"/>
      <c r="H32" s="52"/>
      <c r="I32" s="28" t="str">
        <f>F32+G32</f>
        <v>0</v>
      </c>
      <c r="J32" s="52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0"/>
      <c r="G33" s="71"/>
      <c r="H33" s="52"/>
      <c r="I33" s="28" t="str">
        <f>F33+G33</f>
        <v>0</v>
      </c>
      <c r="J33" s="52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0"/>
      <c r="G34" s="71"/>
      <c r="H34" s="52"/>
      <c r="I34" s="28" t="str">
        <f>F34+G34</f>
        <v>0</v>
      </c>
      <c r="J34" s="52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0"/>
      <c r="G35" s="71"/>
      <c r="H35" s="52"/>
      <c r="I35" s="28" t="str">
        <f>F35+G35</f>
        <v>0</v>
      </c>
      <c r="J35" s="52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0"/>
      <c r="G36" s="71"/>
      <c r="H36" s="52"/>
      <c r="I36" s="28" t="str">
        <f>F36+G36</f>
        <v>0</v>
      </c>
      <c r="J36" s="52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0"/>
      <c r="G37" s="71"/>
      <c r="H37" s="52"/>
      <c r="I37" s="28" t="str">
        <f>F37+G37</f>
        <v>0</v>
      </c>
      <c r="J37" s="52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0"/>
      <c r="G38" s="71"/>
      <c r="H38" s="52"/>
      <c r="I38" s="28" t="str">
        <f>F38+G38</f>
        <v>0</v>
      </c>
      <c r="J38" s="52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0"/>
      <c r="G39" s="71"/>
      <c r="H39" s="52"/>
      <c r="I39" s="28" t="str">
        <f>F39+G39</f>
        <v>0</v>
      </c>
      <c r="J39" s="52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0"/>
      <c r="G40" s="71"/>
      <c r="H40" s="52"/>
      <c r="I40" s="28" t="str">
        <f>F40+G40</f>
        <v>0</v>
      </c>
      <c r="J40" s="52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0"/>
      <c r="G41" s="71"/>
      <c r="H41" s="52"/>
      <c r="I41" s="28" t="str">
        <f>F41+G41</f>
        <v>0</v>
      </c>
      <c r="J41" s="52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0"/>
      <c r="G42" s="71"/>
      <c r="H42" s="52"/>
      <c r="I42" s="28" t="str">
        <f>F42+G42</f>
        <v>0</v>
      </c>
      <c r="J42" s="52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0"/>
      <c r="G43" s="71"/>
      <c r="H43" s="52"/>
      <c r="I43" s="28" t="str">
        <f>F43+G43</f>
        <v>0</v>
      </c>
      <c r="J43" s="52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0"/>
      <c r="G44" s="71"/>
      <c r="H44" s="52"/>
      <c r="I44" s="28" t="str">
        <f>F44+G44</f>
        <v>0</v>
      </c>
      <c r="J44" s="52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0"/>
      <c r="G45" s="71"/>
      <c r="H45" s="52"/>
      <c r="I45" s="28" t="str">
        <f>F45+G45</f>
        <v>0</v>
      </c>
      <c r="J45" s="52"/>
    </row>
    <row r="46" spans="1:10" customHeight="1" ht="24.95" s="52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47" t="str">
        <f>SUM(F16:G45)</f>
        <v>0</v>
      </c>
      <c r="G46" s="73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2" customFormat="1">
      <c r="A47" s="6"/>
      <c r="B47" s="5"/>
      <c r="C47" s="5"/>
      <c r="D47" s="5"/>
      <c r="E47" s="23" t="inlineStr">
        <is>
          <r>
            <t xml:space="preserve"> </t>
          </r>
        </is>
      </c>
      <c r="F47" s="72" t="inlineStr">
        <is>
          <r>
            <t xml:space="preserve"> </t>
          </r>
        </is>
      </c>
      <c r="G47" s="73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2" customFormat="1">
      <c r="A48" s="6"/>
      <c r="B48" s="5"/>
      <c r="C48" s="5"/>
      <c r="D48" s="5"/>
      <c r="E48" s="23"/>
      <c r="F48" s="72" t="inlineStr">
        <is>
          <r>
            <t xml:space="preserve"> </t>
          </r>
        </is>
      </c>
      <c r="G48" s="73"/>
      <c r="J48" s="52"/>
    </row>
    <row r="49" spans="1:10" customHeight="1" ht="15.95" s="52" customFormat="1">
      <c r="A49" s="6"/>
      <c r="B49" s="5"/>
      <c r="C49" s="5"/>
      <c r="D49" s="5"/>
      <c r="E49" s="23"/>
      <c r="F49" s="74"/>
      <c r="G49" s="60"/>
      <c r="J49" s="52"/>
    </row>
    <row r="50" spans="1:10" customHeight="1" ht="15.95" s="52" customFormat="1">
      <c r="A50" s="6"/>
      <c r="B50" s="5"/>
      <c r="C50" s="5"/>
      <c r="D50" s="5"/>
      <c r="E50" s="23"/>
      <c r="F50" s="74"/>
      <c r="G50" s="60"/>
      <c r="J50" s="52"/>
    </row>
    <row r="51" spans="1:10" customHeight="1" ht="15.95" s="52" customFormat="1">
      <c r="A51" s="6"/>
      <c r="B51" s="5"/>
      <c r="C51" s="5"/>
      <c r="D51" s="5"/>
      <c r="E51" s="24"/>
      <c r="F51" s="74"/>
      <c r="G51" s="60"/>
      <c r="J51" s="52"/>
    </row>
    <row r="52" spans="1:10" customHeight="1" ht="24.95" s="52" customFormat="1">
      <c r="A52" s="6"/>
      <c r="B52" s="5"/>
      <c r="C52" s="5"/>
      <c r="D52" s="5"/>
      <c r="E52" s="27" t="inlineStr">
        <is>
          <r>
            <t xml:space="preserve">TOTAL</t>
          </r>
        </is>
      </c>
      <c r="F52" s="47" t="str">
        <f>SUM(F46:G51)</f>
        <v>0</v>
      </c>
      <c r="G52" s="73"/>
      <c r="J52" s="52"/>
    </row>
    <row r="53" spans="1:10" customHeight="1" ht="15.95" s="52" customFormat="1">
      <c r="A53" s="6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5"/>
      <c r="G53" s="73"/>
      <c r="J53" s="52"/>
    </row>
    <row r="54" spans="1:10" customHeight="1" ht="15.95" s="52" customFormat="1">
      <c r="A54" s="6"/>
      <c r="B54" s="5"/>
      <c r="C54" s="5"/>
      <c r="D54" s="25"/>
      <c r="E54" s="26"/>
      <c r="F54" s="75"/>
      <c r="G54" s="73"/>
      <c r="J54" s="52"/>
    </row>
    <row r="55" spans="1:10" customHeight="1" ht="15.95" s="52" customFormat="1">
      <c r="A55" s="6"/>
      <c r="B55" s="5"/>
      <c r="C55" s="5"/>
      <c r="D55" s="25"/>
      <c r="E55" s="26"/>
      <c r="F55" s="75"/>
      <c r="G55" s="73"/>
      <c r="J55" s="52"/>
    </row>
    <row r="56" spans="1:10" customHeight="1" ht="15.95" s="52" customFormat="1">
      <c r="A56" s="6"/>
      <c r="B56" s="5"/>
      <c r="C56" s="5"/>
      <c r="D56" s="25"/>
      <c r="E56" s="26"/>
      <c r="F56" s="75"/>
      <c r="G56" s="73"/>
      <c r="J56" s="52"/>
    </row>
    <row r="57" spans="1:10" customHeight="1" ht="15.95" s="52" customFormat="1">
      <c r="A57" s="6"/>
      <c r="B57" s="5"/>
      <c r="C57" s="5"/>
      <c r="D57" s="25"/>
      <c r="E57" s="26"/>
      <c r="F57" s="75"/>
      <c r="G57" s="73"/>
      <c r="J57" s="52"/>
    </row>
    <row r="58" spans="1:10" customHeight="1" ht="24.95" s="52" customFormat="1">
      <c r="A58" s="6"/>
      <c r="B58" s="5"/>
      <c r="C58" s="5"/>
      <c r="D58" s="25"/>
      <c r="E58" s="19" t="inlineStr">
        <is>
          <r>
            <t xml:space="preserve">BALANCE MONEY</t>
          </r>
        </is>
      </c>
      <c r="F58" s="45" t="str">
        <f>SUM(F52-F53-F54-F55-F56-F57)</f>
        <v>0</v>
      </c>
      <c r="G58" s="76"/>
      <c r="J58" s="52"/>
    </row>
    <row r="59" spans="1:10" customHeight="1" ht="20.1" s="52" customFormat="1">
      <c r="A59" s="40"/>
      <c r="B59" s="52"/>
      <c r="F59" s="41" t="inlineStr">
        <is>
          <r>
            <t xml:space="preserve">.</t>
          </r>
        </is>
      </c>
      <c r="G59" s="4"/>
      <c r="J59" s="52"/>
    </row>
    <row r="60" spans="1:10" customHeight="1" ht="20.1" s="52" customFormat="1">
      <c r="A60" s="40"/>
      <c r="G60" s="4"/>
      <c r="J60" s="52"/>
    </row>
    <row r="61" spans="1:10" customHeight="1" ht="20.1" s="52" customFormat="1">
      <c r="A61" s="40"/>
      <c r="G61" s="4"/>
      <c r="J61" s="52"/>
    </row>
    <row r="62" spans="1:10" customHeight="1" ht="20.1" s="52" customFormat="1">
      <c r="A62" s="40"/>
      <c r="G62" s="4"/>
      <c r="J62" s="52"/>
    </row>
    <row r="63" spans="1:10" customHeight="1" ht="20.1" s="52" customFormat="1">
      <c r="A63" s="40"/>
      <c r="G63" s="4"/>
      <c r="J63" s="52"/>
    </row>
    <row r="64" spans="1:10" customHeight="1" ht="20.1" s="52" customFormat="1">
      <c r="A64" s="3"/>
      <c r="B64" s="2"/>
      <c r="C64" s="2"/>
      <c r="D64" s="2"/>
      <c r="E64" s="2"/>
      <c r="F64" s="2"/>
      <c r="G64" s="1"/>
      <c r="J64" s="52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F8:G8"/>
    <mergeCell ref="A12:B12"/>
    <mergeCell ref="C12:D12"/>
    <mergeCell ref="F57:G57"/>
    <mergeCell ref="C11:D11"/>
    <mergeCell ref="A5:B5"/>
    <mergeCell ref="F50:G50"/>
    <mergeCell ref="F47:G47"/>
    <mergeCell ref="F46:G46"/>
    <mergeCell ref="A8:B8"/>
    <mergeCell ref="F9:G9"/>
    <mergeCell ref="F58:G58"/>
    <mergeCell ref="F56:G56"/>
    <mergeCell ref="A13:B13"/>
    <mergeCell ref="C13:D13"/>
    <mergeCell ref="A9:B9"/>
    <mergeCell ref="E1:G1"/>
    <mergeCell ref="F12:G12"/>
    <mergeCell ref="F13:G13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