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<sst xmlns="http://schemas.openxmlformats.org/spreadsheetml/2006/main" uniqueCount="381">
  <si>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</si>
  <si>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</si>
  <si>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</si>
  <si>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</si>
  <si>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</si>
  <si>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</si>
  <si>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</si>
  <si>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</si>
  <si>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</si>
  <si>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</si>
  <si>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</si>
  <si>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</si>
  <si>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</si>
  <si>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</si>
  <si>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</si>
  <si>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</si>
  <si>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</si>
  <si>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</si>
  <si>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</si>
  <si>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</si>
  <si>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</si>
  <si>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</si>
  <si>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</si>
  <si>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</si>
  <si>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</si>
  <si>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</si>
  <si>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</si>
  <si>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</si>
  <si>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</si>
  <si>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</si>
  <si>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</si>
  <si>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</si>
  <si>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</si>
  <si>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</si>
  <si>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</si>
  <si>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</si>
  <si>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</si>
  <si>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</si>
  <si>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</si>
  <si>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</si>
  <si>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</si>
  <si>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</si>
  <si>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</si>
  <si>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</si>
  <si>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</si>
  <si>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</si>
  <si>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</si>
  <si>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</si>
  <si>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</si>
  <si>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</si>
  <si>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</si>
  <si>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</si>
  <si>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</si>
  <si>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</si>
  <si>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</si>
  <si>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</si>
  <si>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</si>
  <si>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</si>
  <si>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</si>
  <si>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</si>
  <si>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</si>
  <si>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</si>
  <si>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</si>
  <si>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</si>
  <si>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</si>
  <si>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</si>
  <si>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</si>
  <si>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</si>
  <si>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</si>
  <si>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</si>
  <si>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</si>
  <si>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</si>
  <si>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</si>
  <si>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</si>
  <si>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</si>
  <si>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</si>
  <si>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</si>
  <si>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</si>
  <si>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</si>
  <si>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</si>
  <si>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</si>
  <si>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</si>
  <si>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</si>
  <si>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</si>
  <si>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</si>
  <si>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</si>
  <si>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</si>
  <si>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</si>
  <si>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</si>
  <si>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</si>
  <si>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</si>
  <si>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</si>
  <si>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</si>
  <si>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</si>
  <si>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</si>
  <si>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</si>
  <si>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</si>
  <si>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</si>
  <si>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</si>
  <si>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</si>
  <si>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</si>
  <si>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</si>
  <si>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</si>
  <si>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</si>
  <si>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</si>
  <si>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</si>
  <si>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</si>
  <si>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</si>
  <si>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</si>
  <si>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</si>
  <si>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</si>
  <si>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</si>
  <si>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</si>
  <si>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</si>
  <si>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</si>
  <si>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</si>
  <si>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</si>
  <si>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</si>
  <si>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</si>
  <si>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</si>
  <si>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</si>
  <si>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</si>
  <si>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</si>
  <si>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</si>
  <si>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</si>
  <si>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</si>
  <si>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</si>
  <si>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</si>
  <si>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</si>
  <si>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</si>
  <si>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</si>
  <si>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</si>
  <si>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</si>
  <si>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</si>
  <si>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</si>
  <si>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</si>
  <si>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</si>
  <si>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</si>
  <si>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</si>
  <si>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</si>
  <si>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</si>
  <si>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</si>
  <si>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</si>
  <si>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</si>
  <si>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</si>
  <si>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</si>
  <si>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</si>
  <si>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</si>
  <si>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</si>
  <si>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</si>
  <si>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</si>
  <si>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</si>
  <si>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</si>
  <si>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</si>
  <si>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</si>
  <si>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</si>
  <si>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</si>
  <si>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</si>
  <si>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</si>
  <si>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</si>
  <si>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</si>
  <si>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</si>
  <si>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</si>
  <si>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</si>
  <si>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</si>
  <si>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</si>
  <si>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</si>
  <si>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</si>
  <si>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</si>
  <si>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</si>
  <si>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</si>
  <si>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</si>
  <si>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</si>
  <si>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</si>
  <si>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</si>
  <si>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</si>
  <si>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</si>
  <si>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</si>
  <si>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</si>
  <si>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</si>
  <si>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</si>
  <si>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</si>
  <si>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</si>
  <si>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</si>
  <si>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</si>
  <si>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</si>
  <si>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</si>
  <si>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</si>
  <si>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</si>
  <si>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</si>
  <si>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</si>
  <si>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</si>
  <si>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</si>
  <si>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</si>
  <si>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</si>
  <si>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</si>
  <si>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</si>
  <si>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</si>
  <si>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</si>
  <si>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</si>
  <si>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</si>
  <si>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</si>
  <si>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</si>
  <si>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</si>
  <si>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</si>
  <si>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</si>
  <si>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</si>
  <si>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</si>
  <si>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</si>
  <si>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</si>
  <si>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</si>
  <si>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</si>
  <si>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</si>
  <si>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</si>
  <si>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</si>
  <si>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</si>
  <si>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</si>
  <si>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</si>
  <si>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</si>
  <si>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</si>
  <si>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</si>
  <si>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</si>
  <si>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</si>
  <si>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</si>
  <si>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</si>
  <si>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</si>
  <si>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</si>
  <si>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</si>
  <si>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</si>
  <si>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</si>
  <si>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</si>
  <si>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</si>
  <si>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</si>
  <si>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</si>
  <si>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</si>
  <si>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</si>
  <si>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</si>
  <si>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</si>
  <si>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</si>
  <si>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</si>
  <si>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</si>
  <si>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</si>
  <si>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</si>
  <si>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</si>
  <si>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</si>
  <si>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</si>
  <si>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</si>
  <si>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</si>
  <si>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</si>
  <si>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</si>
  <si>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</si>
  <si>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</si>
  <si>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</si>
  <si>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</si>
  <si>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</si>
  <si>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</si>
  <si>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</si>
  <si>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</si>
  <si>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</si>
  <si>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</si>
  <si>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</si>
  <si>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</si>
  <si>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</si>
  <si>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</si>
  <si>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</si>
  <si>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</si>
  <si>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</si>
  <si>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</si>
  <si>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</si>
  <si>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</si>
  <si>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</si>
  <si>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</si>
  <si>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</si>
  <si>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</si>
  <si>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</si>
  <si>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</si>
  <si>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</si>
  <si>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</si>
  <si>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</si>
  <si>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</si>
  <si>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</si>
  <si>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</si>
  <si>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</si>
  <si>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</si>
  <si>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</si>
  <si>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</si>
  <si>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</si>
  <si>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</si>
  <si>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</si>
  <si>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</si>
  <si>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</si>
  <si>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</si>
  <si>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</si>
  <si>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</si>
  <si>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</si>
  <si>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</si>
  <si>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</si>
  <si>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</si>
  <si>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</si>
  <si>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</si>
  <si>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</si>
  <si>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</si>
  <si>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</si>
  <si>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</si>
  <si>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</si>
  <si>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</si>
  <si>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</si>
  <si>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</si>
  <si>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</si>
  <si>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</si>
  <si>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</si>
  <si>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TEL:82-505-366-9977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</si>
  <si>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</si>
  <si>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</si>
  <si>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</si>
  <si>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</si>
  <si>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</si>
  <si>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</si>
  <si>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</si>
  <si>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</si>
  <si>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</si>
  <si>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</si>
  <si>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</si>
  <si>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</si>
  <si>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</si>
  <si>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</si>
  <si>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</si>
  <si>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</si>
  <si>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</si>
  <si>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</si>
  <si>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</si>
  <si>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</si>
  <si>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</si>
  <si>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</si>
  <si>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</si>
  <si>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</si>
  <si>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</si>
  <si>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</si>
  <si>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</si>
  <si>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</si>
  <si>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</si>
  <si>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</si>
  <si>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</si>
  <si>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</si>
  <si>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</si>
  <si>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</si>
  <si>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</si>
  <si>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TEL:82-505-366-9977 
FAX:82-505-366-9977
EMAIL : heyman99888@gmail.com</t>
  </si>
  <si>
    <r>
      <t xml:space="preserve">16) WEIGHT</t>
    </r>
  </si>
  <si>
    <r>
      <t xml:space="preserve">Weight
(KG)</t>
    </r>
  </si>
  <si>
    <r>
      <t xml:space="preserve">PROFORM INVOICE</t>
    </r>
  </si>
  <si>
    <t>Heyman LTD #513, THE PARK 365, 50 Seonyudong1-ro, Yeongdeungpo-gu, Seoul,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</si>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</sst>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13c4ae50e6f36c2f25d5cef36a023d28.png"/><Relationship Id="rId2" Type="http://schemas.openxmlformats.org/officeDocument/2006/relationships/image" Target="../media/ef0233c6f456d362f91a86ca4f56b937.png"/></Relationships>
</file>

<file path=xl/drawings/_rels/drawing3.xml.rels><?xml version="1.0" encoding="UTF-8" standalone="yes"?>
<Relationships xmlns="http://schemas.openxmlformats.org/package/2006/relationships"><Relationship Id="rId1" Type="http://schemas.openxmlformats.org/officeDocument/2006/relationships/image" Target="../media/366be8e86ee745e0ac0299c8f8768999.png"/><Relationship Id="rId2" Type="http://schemas.openxmlformats.org/officeDocument/2006/relationships/image" Target="../media/2e2f89afd01416a148e5ae9ad21d05ce.jpeg"/><Relationship Id="rId3" Type="http://schemas.openxmlformats.org/officeDocument/2006/relationships/image" Target="../media/ef0233c6f456d362f91a86ca4f56b937.png"/></Relationships>
</file>

<file path=xl/drawings/_rels/drawing4.xml.rels><?xml version="1.0" encoding="UTF-8" standalone="yes"?>
<Relationships xmlns="http://schemas.openxmlformats.org/package/2006/relationships"><Relationship Id="rId1" Type="http://schemas.openxmlformats.org/officeDocument/2006/relationships/image" Target="../media/0dbb2b8217e9af8f42aa3da1112b3c61.jpeg"/><Relationship Id="rId2" Type="http://schemas.openxmlformats.org/officeDocument/2006/relationships/image" Target="../media/c83a8c6b35e0ee71224af86c8d63a3f9.png"/><Relationship Id="rId3" Type="http://schemas.openxmlformats.org/officeDocument/2006/relationships/image" Target="../media/ef0233c6f456d362f91a86ca4f56b937.png"/></Relationships>
</file>

<file path=xl/drawings/_rels/drawing5.xml.rels><?xml version="1.0" encoding="UTF-8" standalone="yes"?>
<Relationships xmlns="http://schemas.openxmlformats.org/package/2006/relationships"><Relationship Id="rId1" Type="http://schemas.openxmlformats.org/officeDocument/2006/relationships/image" Target="../media/ea132c41aadc80628554c115a894519f.jpeg"/><Relationship Id="rId2" Type="http://schemas.openxmlformats.org/officeDocument/2006/relationships/image" Target="../media/9c72f5d1c8e62d7440fe1005335b246a.jpeg"/></Relationships>
</file>

<file path=xl/drawings/_rels/drawing6.xml.rels><?xml version="1.0" encoding="UTF-8" standalone="yes"?>
<Relationships xmlns="http://schemas.openxmlformats.org/package/2006/relationships"><Relationship Id="rId1" Type="http://schemas.openxmlformats.org/officeDocument/2006/relationships/image" Target="../media/1d02de10fd40644aa801b439aad9a1cd.jpeg"/><Relationship Id="rId2" Type="http://schemas.openxmlformats.org/officeDocument/2006/relationships/image" Target="../media/cd61b6592fe4c055f3da35edce4fff78.jpeg"/></Relationships>
</file>

<file path=xl/drawings/_rels/drawing7.xml.rels><?xml version="1.0" encoding="UTF-8" standalone="yes"?>
<Relationships xmlns="http://schemas.openxmlformats.org/package/2006/relationships"><Relationship Id="rId1" Type="http://schemas.openxmlformats.org/officeDocument/2006/relationships/image" Target="../media/86283559d445d72802995757113629f9.jpeg"/><Relationship Id="rId2" Type="http://schemas.openxmlformats.org/officeDocument/2006/relationships/image" Target="../media/a14ca710b46256eb693850e496071677.jpeg"/><Relationship Id="rId3" Type="http://schemas.openxmlformats.org/officeDocument/2006/relationships/image" Target="../media/912d73c0aeace5a01b5a6ed0fe22d265.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oneCellAnchor>
    <xdr:from>
      <xdr:col>14</xdr:col>
      <xdr:colOff>600075</xdr:colOff>
      <xdr:row>12</xdr:row>
      <xdr:rowOff>171450</xdr:rowOff>
    </xdr:from>
    <xdr:ext cx="1057275" cy="1028700"/>
    <xdr:pic>
      <xdr:nvPicPr>
        <xdr:cNvPr id="2" name="govt_seal"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2" name="그림 12" descr=""/>
        <xdr:cNvPicPr>
          <a:picLocks noChangeAspect="1"/>
        </xdr:cNvPicPr>
      </xdr:nvPicPr>
      <xdr:blipFill>
        <a:blip xmlns:r="http://schemas.openxmlformats.org/officeDocument/2006/relationships" r:embed="rId2"/>
        <a:stretch>
          <a:fillRect/>
        </a:stretch>
      </xdr:blipFill>
      <xdr:spPr>
        <a:xfrm rot="0">
          <a:ext cx="3543300" cy="1371600"/>
        </a:xfrm>
        <a:prstGeom prst="rect">
          <a:avLst/>
        </a:prstGeom>
      </xdr:spPr>
    </xdr:pic>
    <xdr:clientData/>
  </xdr:twoCellAnchor>
  <xdr:oneCellAnchor>
    <xdr:from>
      <xdr:col>14</xdr:col>
      <xdr:colOff>638175</xdr:colOff>
      <xdr:row>12</xdr:row>
      <xdr:rowOff>57150</xdr:rowOff>
    </xdr:from>
    <xdr:ext cx="1057275" cy="1028700"/>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2" name="그림 7" descr=""/>
        <xdr:cNvPicPr>
          <a:picLocks noChangeAspect="1"/>
        </xdr:cNvPicPr>
      </xdr:nvPicPr>
      <xdr:blipFill>
        <a:blip xmlns:r="http://schemas.openxmlformats.org/officeDocument/2006/relationships" r:embed="rId2"/>
        <a:stretch>
          <a:fillRect/>
        </a:stretch>
      </xdr:blipFill>
      <xdr:spPr>
        <a:xfrm rot="180000">
          <a:ext cx="1733550" cy="2095500"/>
        </a:xfrm>
        <a:prstGeom prst="rect">
          <a:avLst/>
        </a:prstGeom>
      </xdr:spPr>
    </xdr:pic>
    <xdr:clientData/>
  </xdr:twoCellAnchor>
  <xdr:oneCellAnchor>
    <xdr:from>
      <xdr:col>10</xdr:col>
      <xdr:colOff>733425</xdr:colOff>
      <xdr:row>32</xdr:row>
      <xdr:rowOff>447675</xdr:rowOff>
    </xdr:from>
    <xdr:ext cx="1247775" cy="1228725"/>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2"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3"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6"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5" t="s">
        <v>261</v>
      </c>
      <c r="F22" s="395"/>
      <c r="G22" s="395"/>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#513, THE PARK 365, 50 Seonyudong1-ro, Yeongdeungpo-gu, Seoul, Korea
TEL:82-505-366-9977 
FAX:82-505-366-9977
EMAIL : heyman99888@gmail.com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7">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s">
        <v>347</v>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98"/>
      <c r="G6" s="376"/>
    </row>
    <row r="7" spans="1:7" customHeight="1" ht="24.75" s="245" customFormat="1">
      <c r="A7" s="238"/>
      <c r="E7" s="44" t="inlineStr">
        <is>
          <r>
            <t xml:space="preserve">Adress</t>
          </r>
        </is>
      </c>
      <c r="F7" s="399"/>
      <c r="G7" s="376"/>
    </row>
    <row r="8" spans="1:7" customHeight="1" ht="24.75" s="245" customFormat="1">
      <c r="A8" s="238"/>
      <c r="E8" s="44" t="inlineStr">
        <is>
          <r>
            <t xml:space="preserve">Country</t>
          </r>
        </is>
      </c>
      <c r="F8" s="400"/>
      <c r="G8" s="376"/>
    </row>
    <row r="9" spans="1:7" customHeight="1" ht="24.75" s="245" customFormat="1">
      <c r="A9" s="238"/>
      <c r="B9" s="238"/>
      <c r="E9" s="44" t="inlineStr">
        <is>
          <r>
            <t xml:space="preserve">Phone</t>
          </r>
        </is>
      </c>
      <c r="F9" s="398"/>
      <c r="G9" s="376"/>
    </row>
    <row r="10" spans="1:7" customHeight="1" ht="18" s="245" customFormat="1">
      <c r="A10" s="238"/>
      <c r="E10" s="44"/>
      <c r="F10" s="46"/>
      <c r="G10" s="45"/>
    </row>
    <row r="11" spans="1:7" customHeight="1" ht="23.25" s="245" customFormat="1">
      <c r="A11" s="237"/>
      <c r="B11" s="237"/>
      <c r="E11" s="44" t="inlineStr">
        <is>
          <r>
            <t xml:space="preserve">Total invoice</t>
          </r>
        </is>
      </c>
      <c r="F11" s="378" t="str">
        <f>F31</f>
        <v>0</v>
      </c>
      <c r="G11" s="376"/>
    </row>
    <row r="12" spans="1:7" customHeight="1" ht="23.25" s="245" customFormat="1">
      <c r="A12" s="237"/>
      <c r="E12" s="44" t="inlineStr">
        <is>
          <r>
            <t xml:space="preserve">Total received in Korea</t>
          </r>
        </is>
      </c>
      <c r="F12" s="378" t="str">
        <f>F31</f>
        <v>0</v>
      </c>
      <c r="G12" s="376"/>
    </row>
    <row r="13" spans="1:7" customHeight="1" ht="23.25" s="245" customFormat="1">
      <c r="A13" s="244"/>
      <c r="C13" s="51"/>
      <c r="D13" s="51"/>
      <c r="E13" s="44" t="inlineStr">
        <is>
          <r>
            <t xml:space="preserve">Not received</t>
          </r>
        </is>
      </c>
      <c r="F13" s="379" t="str">
        <f>SUM(F11-F12)</f>
        <v>0</v>
      </c>
      <c r="G13" s="376"/>
    </row>
    <row r="14" spans="1:7" customHeight="1" ht="17.25" s="245" customFormat="1">
      <c r="A14" s="244"/>
      <c r="C14" s="52"/>
      <c r="D14" s="52"/>
      <c r="E14" s="380"/>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363</v>
      </c>
      <c r="D16" s="383"/>
      <c r="E16" s="239" t="inlineStr">
        <is>
          <r>
            <t xml:space="preserve">Bank Name</t>
          </r>
        </is>
      </c>
      <c r="F16" s="385" t="inlineStr">
        <is>
          <r>
            <t xml:space="preserve">SHINHAN BANK</t>
          </r>
        </is>
      </c>
      <c r="G16" s="383"/>
    </row>
    <row r="17" spans="1:7" customHeight="1" ht="26.25" s="245" customFormat="1">
      <c r="A17" s="239" t="inlineStr">
        <is>
          <r>
            <t xml:space="preserve">Swift Cose</t>
          </r>
        </is>
      </c>
      <c r="B17" s="383"/>
      <c r="C17" s="384" t="inlineStr">
        <is>
          <r>
            <t xml:space="preserve">SHBKKRSE</t>
          </r>
        </is>
      </c>
      <c r="D17" s="383"/>
      <c r="E17" s="239" t="inlineStr">
        <is>
          <r>
            <t xml:space="preserve">Bank Adress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s">
        <v>371</v>
      </c>
      <c r="D18" s="383"/>
      <c r="E18" s="239" t="inlineStr">
        <is>
          <r>
            <t xml:space="preserve">Beneficiary Adress</t>
          </r>
        </is>
      </c>
      <c r="F18" s="386" t="inlineStr">
        <is>
          <r>
            <t xml:space="preserve">#513, THE PARK 365, 50 Seonyudong1-ro, Yeongdeungpo-gu, Seoul,   SOUTH KOREA</t>
          </r>
        </is>
      </c>
      <c r="G18" s="383"/>
    </row>
    <row r="19" spans="1:7">
      <c r="C19" s="43"/>
      <c r="D19" s="43"/>
      <c r="E19" s="380"/>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