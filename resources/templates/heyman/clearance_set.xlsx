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<sst xmlns="http://schemas.openxmlformats.org/spreadsheetml/2006/main" uniqueCount="381">
  <si>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</si>
  <si>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</si>
  <si>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</si>
  <si>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</si>
  <si>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</si>
  <si>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</si>
  <si>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</si>
  <si>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</si>
  <si>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</si>
  <si>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</si>
  <si>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</si>
  <si>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</si>
  <si>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</si>
  <si>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</si>
  <si>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</si>
  <si>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</si>
  <si>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</si>
  <si>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</si>
  <si>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</si>
  <si>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</si>
  <si>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</si>
  <si>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</si>
  <si>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</si>
  <si>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</si>
  <si>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</si>
  <si>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</si>
  <si>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</si>
  <si>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</si>
  <si>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</si>
  <si>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</si>
  <si>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</si>
  <si>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</si>
  <si>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</si>
  <si>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</si>
  <si>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</si>
  <si>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</si>
  <si>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</si>
  <si>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</si>
  <si>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</si>
  <si>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</si>
  <si>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</si>
  <si>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</si>
  <si>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</si>
  <si>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</si>
  <si>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</si>
  <si>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</si>
  <si>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</si>
  <si>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</si>
  <si>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</si>
  <si>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</si>
  <si>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</si>
  <si>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</si>
  <si>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</si>
  <si>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</si>
  <si>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</si>
  <si>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</si>
  <si>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</si>
  <si>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</si>
  <si>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</si>
  <si>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</si>
  <si>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</si>
  <si>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</si>
  <si>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</si>
  <si>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</si>
  <si>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</si>
  <si>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</si>
  <si>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</si>
  <si>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</si>
  <si>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</si>
  <si>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</si>
  <si>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</si>
  <si>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</si>
  <si>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</si>
  <si>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</si>
  <si>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</si>
  <si>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</si>
  <si>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</si>
  <si>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</si>
  <si>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</si>
  <si>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</si>
  <si>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</si>
  <si>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</si>
  <si>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</si>
  <si>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</si>
  <si>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</si>
  <si>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</si>
  <si>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</si>
  <si>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</si>
  <si>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</si>
  <si>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</si>
  <si>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</si>
  <si>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</si>
  <si>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</si>
  <si>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</si>
  <si>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</si>
  <si>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</si>
  <si>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</si>
  <si>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</si>
  <si>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</si>
  <si>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</si>
  <si>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</si>
  <si>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</si>
  <si>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</si>
  <si>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</si>
  <si>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</si>
  <si>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</si>
  <si>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</si>
  <si>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</si>
  <si>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</si>
  <si>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</si>
  <si>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</si>
  <si>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</si>
  <si>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</si>
  <si>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</si>
  <si>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</si>
  <si>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</si>
  <si>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</si>
  <si>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</si>
  <si>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</si>
  <si>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</si>
  <si>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</si>
  <si>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</si>
  <si>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</si>
  <si>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</si>
  <si>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</si>
  <si>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</si>
  <si>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</si>
  <si>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</si>
  <si>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</si>
  <si>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</si>
  <si>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</si>
  <si>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</si>
  <si>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</si>
  <si>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</si>
  <si>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</si>
  <si>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</si>
  <si>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</si>
  <si>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</si>
  <si>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</si>
  <si>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</si>
  <si>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</si>
  <si>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</si>
  <si>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</si>
  <si>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</si>
  <si>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</si>
  <si>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</si>
  <si>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</si>
  <si>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</si>
  <si>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</si>
  <si>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</si>
  <si>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</si>
  <si>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</si>
  <si>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</si>
  <si>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</si>
  <si>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</si>
  <si>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</si>
  <si>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</si>
  <si>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</si>
  <si>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</si>
  <si>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</si>
  <si>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</si>
  <si>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</si>
  <si>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</si>
  <si>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</si>
  <si>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</si>
  <si>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</si>
  <si>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</si>
  <si>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</si>
  <si>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</si>
  <si>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</si>
  <si>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</si>
  <si>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</si>
  <si>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</si>
  <si>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</si>
  <si>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</si>
  <si>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</si>
  <si>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</si>
  <si>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</si>
  <si>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</si>
  <si>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</si>
  <si>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</si>
  <si>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</si>
  <si>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</si>
  <si>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</si>
  <si>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</si>
  <si>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</si>
  <si>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</si>
  <si>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</si>
  <si>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</si>
  <si>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</si>
  <si>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</si>
  <si>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</si>
  <si>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</si>
  <si>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</si>
  <si>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</si>
  <si>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</si>
  <si>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</si>
  <si>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</si>
  <si>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</si>
  <si>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</si>
  <si>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</si>
  <si>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</si>
  <si>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</si>
  <si>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</si>
  <si>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</si>
  <si>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</si>
  <si>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</si>
  <si>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</si>
  <si>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</si>
  <si>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</si>
  <si>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</si>
  <si>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</si>
  <si>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</si>
  <si>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</si>
  <si>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</si>
  <si>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</si>
  <si>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</si>
  <si>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</si>
  <si>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</si>
  <si>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</si>
  <si>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</si>
  <si>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</si>
  <si>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</si>
  <si>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</si>
  <si>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</si>
  <si>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</si>
  <si>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</si>
  <si>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</si>
  <si>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</si>
  <si>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</si>
  <si>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</si>
  <si>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</si>
  <si>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</si>
  <si>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</si>
  <si>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</si>
  <si>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</si>
  <si>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</si>
  <si>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</si>
  <si>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</si>
  <si>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</si>
  <si>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</si>
  <si>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</si>
  <si>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</si>
  <si>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</si>
  <si>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</si>
  <si>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</si>
  <si>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</si>
  <si>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</si>
  <si>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</si>
  <si>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</si>
  <si>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</si>
  <si>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</si>
  <si>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</si>
  <si>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</si>
  <si>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</si>
  <si>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</si>
  <si>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</si>
  <si>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</si>
  <si>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</si>
  <si>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</si>
  <si>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</si>
  <si>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</si>
  <si>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</si>
  <si>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</si>
  <si>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</si>
  <si>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</si>
  <si>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</si>
  <si>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</si>
  <si>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</si>
  <si>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</si>
  <si>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</si>
  <si>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</si>
  <si>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</si>
  <si>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</si>
  <si>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</si>
  <si>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</si>
  <si>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</si>
  <si>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</si>
  <si>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</si>
  <si>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</si>
  <si>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</si>
  <si>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</si>
  <si>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</si>
  <si>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</si>
  <si>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</si>
  <si>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</si>
  <si>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</si>
  <si>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</si>
  <si>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</si>
  <si>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</si>
  <si>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</si>
  <si>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</si>
  <si>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</si>
  <si>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</si>
  <si>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</si>
  <si>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</si>
  <si>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</si>
  <si>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</si>
  <si>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</si>
  <si>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</si>
  <si>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</si>
  <si>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</si>
  <si>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</si>
  <si>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</si>
  <si>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</si>
  <si>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</si>
  <si>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</si>
  <si>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</si>
  <si>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</si>
  <si>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</si>
  <si>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</si>
  <si>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TEL:82-10-9009-9977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</si>
  <si>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</si>
  <si>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</si>
  <si>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</si>
  <si>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</si>
  <si>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</si>
  <si>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</si>
  <si>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</si>
  <si>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</si>
  <si>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</si>
  <si>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</si>
  <si>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</si>
  <si>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</si>
  <si>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</si>
  <si>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</si>
  <si>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</si>
  <si>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</si>
  <si>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</si>
  <si>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</si>
  <si>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</si>
  <si>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</si>
  <si>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</si>
  <si>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</si>
  <si>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</si>
  <si>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</si>
  <si>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</si>
  <si>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</si>
  <si>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</si>
  <si>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</si>
  <si>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</si>
  <si>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</si>
  <si>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</si>
  <si>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</si>
  <si>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</si>
  <si>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</si>
  <si>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</si>
  <si>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</si>
  <si>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</si>
  <si>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</si>
  <si>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 INVOICE</t>
    </r>
  </si>
  <si>
    <t>Heyman LTD #513, THE PARK 365, 50 Seonyudong1-ro, Yeongdeungpo-gu, Seoul,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</si>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</sst>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931cbf44b163cb2153bbe4bbde03033d.png"/><Relationship Id="rId2" Type="http://schemas.openxmlformats.org/officeDocument/2006/relationships/image" Target="../media/5b32ba3c3d442af76f258a6120485d33.png"/></Relationships>
</file>

<file path=xl/drawings/_rels/drawing3.xml.rels><?xml version="1.0" encoding="UTF-8" standalone="yes"?>
<Relationships xmlns="http://schemas.openxmlformats.org/package/2006/relationships"><Relationship Id="rId1" Type="http://schemas.openxmlformats.org/officeDocument/2006/relationships/image" Target="../media/931cbf44b163cb2153bbe4bbde03033d.png"/><Relationship Id="rId2" Type="http://schemas.openxmlformats.org/officeDocument/2006/relationships/image" Target="../media/459dbbdac370bcc65bfbb690fa06eb18.png"/><Relationship Id="rId3" Type="http://schemas.openxmlformats.org/officeDocument/2006/relationships/image" Target="../media/9ce8bf40de08358f1136fc68e2112b3c.jpeg"/></Relationships>
</file>

<file path=xl/drawings/_rels/drawing4.xml.rels><?xml version="1.0" encoding="UTF-8" standalone="yes"?>
<Relationships xmlns="http://schemas.openxmlformats.org/package/2006/relationships"><Relationship Id="rId1" Type="http://schemas.openxmlformats.org/officeDocument/2006/relationships/image" Target="../media/931cbf44b163cb2153bbe4bbde03033d.png"/><Relationship Id="rId2" Type="http://schemas.openxmlformats.org/officeDocument/2006/relationships/image" Target="../media/be20d1345e3910e97a131abd4da387d4.jpeg"/><Relationship Id="rId3" Type="http://schemas.openxmlformats.org/officeDocument/2006/relationships/image" Target="../media/e0acc69d38f1bc6a8f38d5a6f38a0d17.png"/></Relationships>
</file>

<file path=xl/drawings/_rels/drawing5.xml.rels><?xml version="1.0" encoding="UTF-8" standalone="yes"?>
<Relationships xmlns="http://schemas.openxmlformats.org/package/2006/relationships"><Relationship Id="rId1" Type="http://schemas.openxmlformats.org/officeDocument/2006/relationships/image" Target="../media/8d99772a036aeb05c673c836fa740669.jpeg"/><Relationship Id="rId2" Type="http://schemas.openxmlformats.org/officeDocument/2006/relationships/image" Target="../media/09d8b429f676b324465139044363b2c0.jpeg"/></Relationships>
</file>

<file path=xl/drawings/_rels/drawing6.xml.rels><?xml version="1.0" encoding="UTF-8" standalone="yes"?>
<Relationships xmlns="http://schemas.openxmlformats.org/package/2006/relationships"><Relationship Id="rId1" Type="http://schemas.openxmlformats.org/officeDocument/2006/relationships/image" Target="../media/94faabc0274c3a8f435c161e555957ab.jpeg"/><Relationship Id="rId2" Type="http://schemas.openxmlformats.org/officeDocument/2006/relationships/image" Target="../media/9bd33d17e5fb4ec9976dbb31e2820cf1.jpeg"/></Relationships>
</file>

<file path=xl/drawings/_rels/drawing7.xml.rels><?xml version="1.0" encoding="UTF-8" standalone="yes"?>
<Relationships xmlns="http://schemas.openxmlformats.org/package/2006/relationships"><Relationship Id="rId1" Type="http://schemas.openxmlformats.org/officeDocument/2006/relationships/image" Target="../media/5aa455e94a251b83fc67b394a136dec3.jpeg"/><Relationship Id="rId2" Type="http://schemas.openxmlformats.org/officeDocument/2006/relationships/image" Target="../media/f67d51231c9800b3fd5ac78cd50a2d5f.jpeg"/><Relationship Id="rId3" Type="http://schemas.openxmlformats.org/officeDocument/2006/relationships/image" Target="../media/91ba6695a47483ae39c8296c5a4af365.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2"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s">
        <v>183</v>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3"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6" t="s">
        <v>258</v>
      </c>
      <c r="F21" s="250"/>
      <c r="G21" s="303"/>
      <c r="H21" s="185" t="inlineStr">
        <is>
          <r>
            <t xml:space="preserve">생년월일(법인등록번호)</t>
          </r>
        </is>
      </c>
      <c r="I21" s="250"/>
      <c r="J21" s="303"/>
      <c r="K21" s="322" t="inlineStr">
        <is>
          <r>
            <t xml:space="preserve">110111-7526176</t>
          </r>
        </is>
      </c>
      <c r="L21" s="250"/>
      <c r="M21" s="250"/>
      <c r="N21" s="250"/>
      <c r="O21" s="303"/>
    </row>
    <row r="22" spans="1:15" customHeight="1" ht="33.75" s="245" customFormat="1">
      <c r="A22" s="211" t="inlineStr">
        <is>
          <r>
            <t xml:space="preserve">Owner</t>
          </r>
        </is>
      </c>
      <c r="B22" s="320"/>
      <c r="C22" s="182" t="inlineStr">
        <is>
          <r>
            <t xml:space="preserve">Name</t>
          </r>
        </is>
      </c>
      <c r="D22" s="320"/>
      <c r="E22" s="395" t="s">
        <v>261</v>
      </c>
      <c r="F22" s="395"/>
      <c r="G22" s="395"/>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#513, THE PARK 365, 50 Seonyudong1-ro, Yeongdeungpo-gu, Seoul, Korea
TEL:82-10-9009-9977 
FAX:82-505-366-9977
EMAIL : heyman99888@gmail.com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7">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s">
        <v>347</v>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98"/>
      <c r="G6" s="376"/>
    </row>
    <row r="7" spans="1:7" customHeight="1" ht="24.75" s="245" customFormat="1">
      <c r="A7" s="238"/>
      <c r="E7" s="44" t="inlineStr">
        <is>
          <r>
            <t xml:space="preserve">Adress</t>
          </r>
        </is>
      </c>
      <c r="F7" s="399"/>
      <c r="G7" s="376"/>
    </row>
    <row r="8" spans="1:7" customHeight="1" ht="24.75" s="245" customFormat="1">
      <c r="A8" s="238"/>
      <c r="E8" s="44" t="inlineStr">
        <is>
          <r>
            <t xml:space="preserve">Country</t>
          </r>
        </is>
      </c>
      <c r="F8" s="400"/>
      <c r="G8" s="376"/>
    </row>
    <row r="9" spans="1:7" customHeight="1" ht="24.75" s="245" customFormat="1">
      <c r="A9" s="238"/>
      <c r="B9" s="238"/>
      <c r="E9" s="44" t="inlineStr">
        <is>
          <r>
            <t xml:space="preserve">Phone</t>
          </r>
        </is>
      </c>
      <c r="F9" s="398"/>
      <c r="G9" s="376"/>
    </row>
    <row r="10" spans="1:7" customHeight="1" ht="18" s="245" customFormat="1">
      <c r="A10" s="238"/>
      <c r="E10" s="44"/>
      <c r="F10" s="46"/>
      <c r="G10" s="45"/>
    </row>
    <row r="11" spans="1:7" customHeight="1" ht="23.25" s="245" customFormat="1">
      <c r="A11" s="237"/>
      <c r="B11" s="237"/>
      <c r="E11" s="44" t="inlineStr">
        <is>
          <r>
            <t xml:space="preserve">Total invoice</t>
          </r>
        </is>
      </c>
      <c r="F11" s="378" t="str">
        <f>F31</f>
        <v>0</v>
      </c>
      <c r="G11" s="376"/>
    </row>
    <row r="12" spans="1:7" customHeight="1" ht="23.25" s="245" customFormat="1">
      <c r="A12" s="237"/>
      <c r="E12" s="44" t="inlineStr">
        <is>
          <r>
            <t xml:space="preserve">Total received in Korea</t>
          </r>
        </is>
      </c>
      <c r="F12" s="378" t="str">
        <f>F31</f>
        <v>0</v>
      </c>
      <c r="G12" s="376"/>
    </row>
    <row r="13" spans="1:7" customHeight="1" ht="23.25" s="245" customFormat="1">
      <c r="A13" s="244"/>
      <c r="C13" s="51"/>
      <c r="D13" s="51"/>
      <c r="E13" s="44" t="inlineStr">
        <is>
          <r>
            <t xml:space="preserve">Not received</t>
          </r>
        </is>
      </c>
      <c r="F13" s="379" t="str">
        <f>SUM(F11-F12)</f>
        <v>0</v>
      </c>
      <c r="G13" s="376"/>
    </row>
    <row r="14" spans="1:7" customHeight="1" ht="17.25" s="245" customFormat="1">
      <c r="A14" s="244"/>
      <c r="C14" s="52"/>
      <c r="D14" s="52"/>
      <c r="E14" s="380"/>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363</v>
      </c>
      <c r="D16" s="383"/>
      <c r="E16" s="239" t="inlineStr">
        <is>
          <r>
            <t xml:space="preserve">Bank Name</t>
          </r>
        </is>
      </c>
      <c r="F16" s="385" t="inlineStr">
        <is>
          <r>
            <t xml:space="preserve">SHINHAN BANK</t>
          </r>
        </is>
      </c>
      <c r="G16" s="383"/>
    </row>
    <row r="17" spans="1:7" customHeight="1" ht="26.25" s="245" customFormat="1">
      <c r="A17" s="239" t="inlineStr">
        <is>
          <r>
            <t xml:space="preserve">Swift Cose</t>
          </r>
        </is>
      </c>
      <c r="B17" s="383"/>
      <c r="C17" s="384" t="inlineStr">
        <is>
          <r>
            <t xml:space="preserve">SHBKKRSE</t>
          </r>
        </is>
      </c>
      <c r="D17" s="383"/>
      <c r="E17" s="239" t="inlineStr">
        <is>
          <r>
            <t xml:space="preserve">Bank Adress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s">
        <v>371</v>
      </c>
      <c r="D18" s="383"/>
      <c r="E18" s="239" t="inlineStr">
        <is>
          <r>
            <t xml:space="preserve">Beneficiary Adress</t>
          </r>
        </is>
      </c>
      <c r="F18" s="386" t="inlineStr">
        <is>
          <r>
            <t xml:space="preserve">#513, THE PARK 365, 50 Seonyudong1-ro, Yeongdeungpo-gu, Seoul,   SOUTH KOREA</t>
          </r>
        </is>
      </c>
      <c r="G18" s="383"/>
    </row>
    <row r="19" spans="1:7">
      <c r="C19" s="43"/>
      <c r="D19" s="43"/>
      <c r="E19" s="380"/>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